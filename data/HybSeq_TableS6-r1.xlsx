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ipp\Dropbox\NSF-DOB-BurOak-core-files\PAPERS-AND-PROJECTS\KHUFU\2024\v3\data\"/>
    </mc:Choice>
  </mc:AlternateContent>
  <xr:revisionPtr revIDLastSave="0" documentId="13_ncr:1_{0FDF9EA4-14A4-4201-BFC3-7B12A2D376D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ableS4" sheetId="1" r:id="rId1"/>
    <sheet name="metadata" sheetId="2" r:id="rId2"/>
  </sheets>
  <definedNames>
    <definedName name="_xlnm._FilterDatabase" localSheetId="0" hidden="1">TableS4!$K$1:$K$1000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N2" i="1"/>
  <c r="M2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7" i="1"/>
  <c r="K7" i="1"/>
  <c r="L6" i="1"/>
  <c r="K6" i="1"/>
  <c r="L5" i="1"/>
  <c r="K5" i="1"/>
  <c r="L4" i="1"/>
  <c r="K4" i="1"/>
  <c r="L3" i="1"/>
  <c r="K3" i="1"/>
  <c r="L2" i="1"/>
  <c r="K2" i="1"/>
  <c r="K8" i="1"/>
  <c r="L8" i="1"/>
</calcChain>
</file>

<file path=xl/sharedStrings.xml><?xml version="1.0" encoding="utf-8"?>
<sst xmlns="http://schemas.openxmlformats.org/spreadsheetml/2006/main" count="4848" uniqueCount="1251">
  <si>
    <t>Specimen Code</t>
  </si>
  <si>
    <t>Species Determination</t>
  </si>
  <si>
    <t>Parent Species</t>
  </si>
  <si>
    <t>Pure</t>
  </si>
  <si>
    <t>F1</t>
  </si>
  <si>
    <t>F2</t>
  </si>
  <si>
    <t>Bx1</t>
  </si>
  <si>
    <t>Bx2</t>
  </si>
  <si>
    <t>Bx3</t>
  </si>
  <si>
    <t>Hybrid Class</t>
  </si>
  <si>
    <t>QUE001334</t>
  </si>
  <si>
    <t>Q. macrocarpa</t>
  </si>
  <si>
    <t>Unadmixed</t>
  </si>
  <si>
    <t>QUE001337</t>
  </si>
  <si>
    <t>QUE001338</t>
  </si>
  <si>
    <t>QUE001339</t>
  </si>
  <si>
    <t>QUE001342</t>
  </si>
  <si>
    <t>QUE001343</t>
  </si>
  <si>
    <t>QUE001344</t>
  </si>
  <si>
    <t>N/A</t>
  </si>
  <si>
    <t>Q. macrocarpa - Q. alba</t>
  </si>
  <si>
    <t>QUE001345</t>
  </si>
  <si>
    <t>QUE001346</t>
  </si>
  <si>
    <t>QUE001347</t>
  </si>
  <si>
    <t>QUE001348</t>
  </si>
  <si>
    <t>QUE001350</t>
  </si>
  <si>
    <t>QUE001351</t>
  </si>
  <si>
    <t>QUE001352</t>
  </si>
  <si>
    <t>QUE001354</t>
  </si>
  <si>
    <t>Q. bicolor</t>
  </si>
  <si>
    <t>QUE001355</t>
  </si>
  <si>
    <t>QUE001356</t>
  </si>
  <si>
    <t>QUE001357</t>
  </si>
  <si>
    <t>QUE001360</t>
  </si>
  <si>
    <t>QUE001366</t>
  </si>
  <si>
    <t>QUE001368</t>
  </si>
  <si>
    <t>QUE001370</t>
  </si>
  <si>
    <t>QUE001371</t>
  </si>
  <si>
    <t>QUE001372</t>
  </si>
  <si>
    <t>QUE001375</t>
  </si>
  <si>
    <t>QUE001386</t>
  </si>
  <si>
    <t>QUE001388</t>
  </si>
  <si>
    <t>QUE001400</t>
  </si>
  <si>
    <t>Q. stellata</t>
  </si>
  <si>
    <t>QUE001403</t>
  </si>
  <si>
    <t>QUE001406</t>
  </si>
  <si>
    <t>QUE001408</t>
  </si>
  <si>
    <t>QUE001409</t>
  </si>
  <si>
    <t>QUE001410</t>
  </si>
  <si>
    <t>QUE001411</t>
  </si>
  <si>
    <t>QUE001412</t>
  </si>
  <si>
    <t>QUE001451</t>
  </si>
  <si>
    <t>QUE001452</t>
  </si>
  <si>
    <t>QUE001463</t>
  </si>
  <si>
    <t>Q. alba</t>
  </si>
  <si>
    <t>QUE001487</t>
  </si>
  <si>
    <t>QUE001526</t>
  </si>
  <si>
    <t>Q. macrocarpa - Q. bicolor</t>
  </si>
  <si>
    <t>Unadmixed or Bx, undetermined</t>
  </si>
  <si>
    <t>QUE001527</t>
  </si>
  <si>
    <t>QUE001528</t>
  </si>
  <si>
    <t>QUE001529</t>
  </si>
  <si>
    <t>QUE001530</t>
  </si>
  <si>
    <t>QUE001532</t>
  </si>
  <si>
    <t>QUE001533</t>
  </si>
  <si>
    <t>QUE001534</t>
  </si>
  <si>
    <t>QUE001536</t>
  </si>
  <si>
    <t>QUE001537</t>
  </si>
  <si>
    <t>QUE001538</t>
  </si>
  <si>
    <t>QUE001539</t>
  </si>
  <si>
    <t>QUE001541</t>
  </si>
  <si>
    <t>QUE001542</t>
  </si>
  <si>
    <t>QUE001543</t>
  </si>
  <si>
    <t>QUE001545</t>
  </si>
  <si>
    <t>QUE001547</t>
  </si>
  <si>
    <t>QUE001548</t>
  </si>
  <si>
    <t>QUE001549</t>
  </si>
  <si>
    <t>QUE001550</t>
  </si>
  <si>
    <t>QUE001551</t>
  </si>
  <si>
    <t>QUE001552</t>
  </si>
  <si>
    <t>QUE001553</t>
  </si>
  <si>
    <t>QUE001554</t>
  </si>
  <si>
    <t>QUE001555</t>
  </si>
  <si>
    <t>QUE001556</t>
  </si>
  <si>
    <t>QUE001610</t>
  </si>
  <si>
    <t>QUE001632</t>
  </si>
  <si>
    <t>QUE001633</t>
  </si>
  <si>
    <t>Q. macrocarpa - Q. stellata</t>
  </si>
  <si>
    <t>QUE001635</t>
  </si>
  <si>
    <t>QUE001636</t>
  </si>
  <si>
    <t>QUE001638</t>
  </si>
  <si>
    <t>QUE001644</t>
  </si>
  <si>
    <t>QUE001645</t>
  </si>
  <si>
    <t>QUE001647</t>
  </si>
  <si>
    <t>QUE001648</t>
  </si>
  <si>
    <t>QUE001649</t>
  </si>
  <si>
    <t>Q. muehlenbergii</t>
  </si>
  <si>
    <t>QUE001650</t>
  </si>
  <si>
    <t>QUE001651</t>
  </si>
  <si>
    <t>QUE001652</t>
  </si>
  <si>
    <t>QUE001654</t>
  </si>
  <si>
    <t>QUE001655</t>
  </si>
  <si>
    <t>QUE001656</t>
  </si>
  <si>
    <t>QUE001658</t>
  </si>
  <si>
    <t>QUE001661</t>
  </si>
  <si>
    <t>QUE001663</t>
  </si>
  <si>
    <t>QUE001664</t>
  </si>
  <si>
    <t>QUE001665</t>
  </si>
  <si>
    <t>QUE001667</t>
  </si>
  <si>
    <t>QUE001668</t>
  </si>
  <si>
    <t>QUE001670</t>
  </si>
  <si>
    <t>QUE001673</t>
  </si>
  <si>
    <t>QUE001676</t>
  </si>
  <si>
    <t>QUE001677</t>
  </si>
  <si>
    <t>QUE001678</t>
  </si>
  <si>
    <t>QUE001679</t>
  </si>
  <si>
    <t>QUE001680</t>
  </si>
  <si>
    <t>QUE001682</t>
  </si>
  <si>
    <t>QUE001684</t>
  </si>
  <si>
    <t>QUE001686</t>
  </si>
  <si>
    <t>QUE001687</t>
  </si>
  <si>
    <t>QUE001690</t>
  </si>
  <si>
    <t>QUE001691</t>
  </si>
  <si>
    <t>QUE001697</t>
  </si>
  <si>
    <t>QUE001700</t>
  </si>
  <si>
    <t>QUE001705</t>
  </si>
  <si>
    <t>QUE001706</t>
  </si>
  <si>
    <t>QUE001713</t>
  </si>
  <si>
    <t>QUE001716</t>
  </si>
  <si>
    <t>QUE001719</t>
  </si>
  <si>
    <t>QUE001721</t>
  </si>
  <si>
    <t>QUE001723</t>
  </si>
  <si>
    <t>QUE001724</t>
  </si>
  <si>
    <t>QUE001758</t>
  </si>
  <si>
    <t>QUE001759</t>
  </si>
  <si>
    <t>QUE001783</t>
  </si>
  <si>
    <t>QUE001796</t>
  </si>
  <si>
    <t>QUE001804</t>
  </si>
  <si>
    <t>Q. macrocarpa - Q. muehlenbergii</t>
  </si>
  <si>
    <t>QUE001814</t>
  </si>
  <si>
    <t>QUE001815</t>
  </si>
  <si>
    <t>QUE001819</t>
  </si>
  <si>
    <t>QUE001839</t>
  </si>
  <si>
    <t>QUE001840</t>
  </si>
  <si>
    <t>QUE001841</t>
  </si>
  <si>
    <t>Bx, generation undetermined</t>
  </si>
  <si>
    <t>QUE001846</t>
  </si>
  <si>
    <t>QUE001862</t>
  </si>
  <si>
    <t>QUE001863</t>
  </si>
  <si>
    <t>QUE001871</t>
  </si>
  <si>
    <t>QUE001877</t>
  </si>
  <si>
    <t>QUE001878</t>
  </si>
  <si>
    <t>QUE001880</t>
  </si>
  <si>
    <t>QUE001882</t>
  </si>
  <si>
    <t>QUE001885</t>
  </si>
  <si>
    <t>QUE001886</t>
  </si>
  <si>
    <t>QUE001893</t>
  </si>
  <si>
    <t>QUE001898</t>
  </si>
  <si>
    <t>QUE001900</t>
  </si>
  <si>
    <t>QUE001904</t>
  </si>
  <si>
    <t>QUE001907</t>
  </si>
  <si>
    <t>QUE001912</t>
  </si>
  <si>
    <t>QUE001916</t>
  </si>
  <si>
    <t>QUE001918</t>
  </si>
  <si>
    <t>QUE001920</t>
  </si>
  <si>
    <t>QUE001922</t>
  </si>
  <si>
    <t>QUE001923</t>
  </si>
  <si>
    <t>QUE001924</t>
  </si>
  <si>
    <t>QUE001925</t>
  </si>
  <si>
    <t>QUE001928</t>
  </si>
  <si>
    <t>QUE001929</t>
  </si>
  <si>
    <t>QUE001930</t>
  </si>
  <si>
    <t>QUE001932</t>
  </si>
  <si>
    <t>QUE001933</t>
  </si>
  <si>
    <t>QUE001936</t>
  </si>
  <si>
    <t>QUE001937</t>
  </si>
  <si>
    <t>QUE001938</t>
  </si>
  <si>
    <t>QUE001943</t>
  </si>
  <si>
    <t>QUE001959</t>
  </si>
  <si>
    <t>QUE001963</t>
  </si>
  <si>
    <t>QUE001969</t>
  </si>
  <si>
    <t>QUE001971</t>
  </si>
  <si>
    <t>QUE001980</t>
  </si>
  <si>
    <t>QUE001982</t>
  </si>
  <si>
    <t>QUE001985</t>
  </si>
  <si>
    <t>QUE002057</t>
  </si>
  <si>
    <t>QUE002058</t>
  </si>
  <si>
    <t>QUE002068</t>
  </si>
  <si>
    <t>QUE002069</t>
  </si>
  <si>
    <t>QUE002072</t>
  </si>
  <si>
    <t>QUE002073</t>
  </si>
  <si>
    <t>QUE002074</t>
  </si>
  <si>
    <t>QUE002075</t>
  </si>
  <si>
    <t>QUE002076</t>
  </si>
  <si>
    <t>QUE002081</t>
  </si>
  <si>
    <t>QUE002082</t>
  </si>
  <si>
    <t>QUE002083</t>
  </si>
  <si>
    <t>QUE002084</t>
  </si>
  <si>
    <t>QUE002085</t>
  </si>
  <si>
    <t>QUE002087</t>
  </si>
  <si>
    <t>QUE002091</t>
  </si>
  <si>
    <t>QUE002096</t>
  </si>
  <si>
    <t>QUE002098</t>
  </si>
  <si>
    <t>QUE002099</t>
  </si>
  <si>
    <t>Q. alba - Q. muehlenbergii</t>
  </si>
  <si>
    <t>QUE002105</t>
  </si>
  <si>
    <t>QUE002106</t>
  </si>
  <si>
    <t>QUE002108</t>
  </si>
  <si>
    <t>QUE002109</t>
  </si>
  <si>
    <t>QUE002110</t>
  </si>
  <si>
    <t>QUE002114</t>
  </si>
  <si>
    <t>QUE002119</t>
  </si>
  <si>
    <t>QUE002121</t>
  </si>
  <si>
    <t>QUE002124</t>
  </si>
  <si>
    <t>QUE002128</t>
  </si>
  <si>
    <t>QUE002129</t>
  </si>
  <si>
    <t>QUE002132</t>
  </si>
  <si>
    <t>QUE002133</t>
  </si>
  <si>
    <t>QUE002134</t>
  </si>
  <si>
    <t>QUE002135</t>
  </si>
  <si>
    <t>QUE002136</t>
  </si>
  <si>
    <t>QUE002138</t>
  </si>
  <si>
    <t>QUE002139</t>
  </si>
  <si>
    <t>QUE002140</t>
  </si>
  <si>
    <t>QUE002141</t>
  </si>
  <si>
    <t>QUE002143</t>
  </si>
  <si>
    <t>QUE002147</t>
  </si>
  <si>
    <t>QUE002148</t>
  </si>
  <si>
    <t>QUE002149</t>
  </si>
  <si>
    <t>QUE002150</t>
  </si>
  <si>
    <t>QUE002151</t>
  </si>
  <si>
    <t>QUE002154</t>
  </si>
  <si>
    <t>QUE002159</t>
  </si>
  <si>
    <t>QUE002160</t>
  </si>
  <si>
    <t>QUE002161</t>
  </si>
  <si>
    <t>QUE002166</t>
  </si>
  <si>
    <t>QUE002170</t>
  </si>
  <si>
    <t>QUE002175</t>
  </si>
  <si>
    <t>QUE002176</t>
  </si>
  <si>
    <t>QUE002180</t>
  </si>
  <si>
    <t>QUE002187</t>
  </si>
  <si>
    <t>QUE002188</t>
  </si>
  <si>
    <t>QUE002189</t>
  </si>
  <si>
    <t>QUE002194</t>
  </si>
  <si>
    <t>QUE002195</t>
  </si>
  <si>
    <t>QUE002196</t>
  </si>
  <si>
    <t>QUE002202</t>
  </si>
  <si>
    <t>QUE002209</t>
  </si>
  <si>
    <t>QUE002210</t>
  </si>
  <si>
    <t>QUE002216</t>
  </si>
  <si>
    <t>QUE002219</t>
  </si>
  <si>
    <t>QUE002225</t>
  </si>
  <si>
    <t>QUE002226</t>
  </si>
  <si>
    <t>QUE002229</t>
  </si>
  <si>
    <t>QUE002232</t>
  </si>
  <si>
    <t>QUE002240</t>
  </si>
  <si>
    <t>QUE002247</t>
  </si>
  <si>
    <t>QUE002251</t>
  </si>
  <si>
    <t>QUE002252</t>
  </si>
  <si>
    <t>QUE002253</t>
  </si>
  <si>
    <t>QUE002256</t>
  </si>
  <si>
    <t>QUE002261</t>
  </si>
  <si>
    <t>QUE002265</t>
  </si>
  <si>
    <t>QUE002267</t>
  </si>
  <si>
    <t>QUE002268</t>
  </si>
  <si>
    <t>QUE002269</t>
  </si>
  <si>
    <t>QUE002275</t>
  </si>
  <si>
    <t>QUE002285</t>
  </si>
  <si>
    <t>QUE002290</t>
  </si>
  <si>
    <t>QUE002291</t>
  </si>
  <si>
    <t>QUE002299</t>
  </si>
  <si>
    <t>QUE002302</t>
  </si>
  <si>
    <t>QUE002303</t>
  </si>
  <si>
    <t>QUE002304</t>
  </si>
  <si>
    <t>QUE002310</t>
  </si>
  <si>
    <t>QUE002313</t>
  </si>
  <si>
    <t>QUE002314</t>
  </si>
  <si>
    <t>QUE002315</t>
  </si>
  <si>
    <t>QUE002319</t>
  </si>
  <si>
    <t>QUE002324</t>
  </si>
  <si>
    <t>QUE002326</t>
  </si>
  <si>
    <t>QUE002331</t>
  </si>
  <si>
    <t>QUE002335</t>
  </si>
  <si>
    <t>QUE002336</t>
  </si>
  <si>
    <t>QUE002337</t>
  </si>
  <si>
    <t>QUE002338</t>
  </si>
  <si>
    <t>QUE002339</t>
  </si>
  <si>
    <t>QUE002341</t>
  </si>
  <si>
    <t>QUE002342</t>
  </si>
  <si>
    <t>QUE002346</t>
  </si>
  <si>
    <t>QUE002347</t>
  </si>
  <si>
    <t>QUE002351</t>
  </si>
  <si>
    <t>QUE002355</t>
  </si>
  <si>
    <t>QUE002361</t>
  </si>
  <si>
    <t>QUE002362</t>
  </si>
  <si>
    <t>QUE002364</t>
  </si>
  <si>
    <t>QUE002367</t>
  </si>
  <si>
    <t>QUE002369</t>
  </si>
  <si>
    <t>QUE002370</t>
  </si>
  <si>
    <t>QUE002371</t>
  </si>
  <si>
    <t>QUE002373</t>
  </si>
  <si>
    <t>QUE002374</t>
  </si>
  <si>
    <t>QUE002375</t>
  </si>
  <si>
    <t>QUE002379</t>
  </si>
  <si>
    <t>QUE002383</t>
  </si>
  <si>
    <t>QUE002384</t>
  </si>
  <si>
    <t>QUE002385</t>
  </si>
  <si>
    <t>QUE002392</t>
  </si>
  <si>
    <t>QUE002393</t>
  </si>
  <si>
    <t>QUE002399</t>
  </si>
  <si>
    <t>QUE002400</t>
  </si>
  <si>
    <t>QUE002404</t>
  </si>
  <si>
    <t>QUE002410</t>
  </si>
  <si>
    <t>QUE002411</t>
  </si>
  <si>
    <t>QUE002416</t>
  </si>
  <si>
    <t>QUE002417</t>
  </si>
  <si>
    <t>QUE002422</t>
  </si>
  <si>
    <t>QUE002424</t>
  </si>
  <si>
    <t>QUE002427</t>
  </si>
  <si>
    <t>QUE002430</t>
  </si>
  <si>
    <t>QUE002433</t>
  </si>
  <si>
    <t>QUE002443</t>
  </si>
  <si>
    <t>QUE002445</t>
  </si>
  <si>
    <t>QUE002450</t>
  </si>
  <si>
    <t>QUE002453</t>
  </si>
  <si>
    <t>QUE002454</t>
  </si>
  <si>
    <t>QUE002459</t>
  </si>
  <si>
    <t>QUE002460</t>
  </si>
  <si>
    <t>QUE002467</t>
  </si>
  <si>
    <t>QUE002471</t>
  </si>
  <si>
    <t>QUE002474</t>
  </si>
  <si>
    <t>QUE002478</t>
  </si>
  <si>
    <t>QUE002480</t>
  </si>
  <si>
    <t>QUE002481</t>
  </si>
  <si>
    <t>QUE002484</t>
  </si>
  <si>
    <t>QUE002487</t>
  </si>
  <si>
    <t>QUE002488</t>
  </si>
  <si>
    <t>QUE002492</t>
  </si>
  <si>
    <t>QUE002493</t>
  </si>
  <si>
    <t>QUE002494</t>
  </si>
  <si>
    <t>QUE002495</t>
  </si>
  <si>
    <t>QUE002496</t>
  </si>
  <si>
    <t>QUE002502</t>
  </si>
  <si>
    <t>QUE002503</t>
  </si>
  <si>
    <t>QUE002510</t>
  </si>
  <si>
    <t>QUE002511</t>
  </si>
  <si>
    <t>QUE002515</t>
  </si>
  <si>
    <t>QUE002518</t>
  </si>
  <si>
    <t>QUE002520</t>
  </si>
  <si>
    <t>QUE002521</t>
  </si>
  <si>
    <t>QUE002522</t>
  </si>
  <si>
    <t>QUE002526</t>
  </si>
  <si>
    <t>QUE002528</t>
  </si>
  <si>
    <t>QUE002529</t>
  </si>
  <si>
    <t>QUE002531</t>
  </si>
  <si>
    <t>QUE002533</t>
  </si>
  <si>
    <t>QUE002534</t>
  </si>
  <si>
    <t>QUE002535</t>
  </si>
  <si>
    <t>QUE002542</t>
  </si>
  <si>
    <t>QUE002544</t>
  </si>
  <si>
    <t>QUE002555</t>
  </si>
  <si>
    <t>QUE002556</t>
  </si>
  <si>
    <t>QUE002558</t>
  </si>
  <si>
    <t>QUE002559</t>
  </si>
  <si>
    <t>QUE002560</t>
  </si>
  <si>
    <t>QUE002564</t>
  </si>
  <si>
    <t>QUE002570</t>
  </si>
  <si>
    <t>QUE002579</t>
  </si>
  <si>
    <t>QUE002581</t>
  </si>
  <si>
    <t>QUE002590</t>
  </si>
  <si>
    <t>QUE002595</t>
  </si>
  <si>
    <t>QUE002599</t>
  </si>
  <si>
    <t>QUE002601</t>
  </si>
  <si>
    <t>QUE002608</t>
  </si>
  <si>
    <t>QUE002613</t>
  </si>
  <si>
    <t>QUE002614</t>
  </si>
  <si>
    <t>QUE002615</t>
  </si>
  <si>
    <t>QUE002616</t>
  </si>
  <si>
    <t>QUE002617</t>
  </si>
  <si>
    <t>QUE002628</t>
  </si>
  <si>
    <t>QUE002631</t>
  </si>
  <si>
    <t>QUE002634</t>
  </si>
  <si>
    <t>QUE002637</t>
  </si>
  <si>
    <t>QUE002638</t>
  </si>
  <si>
    <t>QUE002641</t>
  </si>
  <si>
    <t>QUE002647</t>
  </si>
  <si>
    <t>Species</t>
  </si>
  <si>
    <t>Georeferenced?</t>
  </si>
  <si>
    <t>Latitude</t>
  </si>
  <si>
    <t>Longitude</t>
  </si>
  <si>
    <t>Site</t>
  </si>
  <si>
    <t>DNA Extraction Code</t>
  </si>
  <si>
    <t>Country</t>
  </si>
  <si>
    <t>State/Province</t>
  </si>
  <si>
    <t>Collector</t>
  </si>
  <si>
    <t>Collection Number</t>
  </si>
  <si>
    <t>Collection Date</t>
  </si>
  <si>
    <t>Y</t>
  </si>
  <si>
    <t>AustinMN</t>
  </si>
  <si>
    <t>JCB-21</t>
  </si>
  <si>
    <t>USA</t>
  </si>
  <si>
    <t>MN</t>
  </si>
  <si>
    <t>Cathleen Nguyen</t>
  </si>
  <si>
    <t>MN_FS_110</t>
  </si>
  <si>
    <t>JCB-23</t>
  </si>
  <si>
    <t>MN_FS_104</t>
  </si>
  <si>
    <t>JCB-30</t>
  </si>
  <si>
    <t>MN_JCH_111</t>
  </si>
  <si>
    <t>AmesIA</t>
  </si>
  <si>
    <t>JCB-40</t>
  </si>
  <si>
    <t>IA</t>
  </si>
  <si>
    <t>IA_101</t>
  </si>
  <si>
    <t>JCB-41</t>
  </si>
  <si>
    <t>IA_102</t>
  </si>
  <si>
    <t>JCB-43</t>
  </si>
  <si>
    <t>IA_104</t>
  </si>
  <si>
    <t>JCB-44</t>
  </si>
  <si>
    <t>IA_105</t>
  </si>
  <si>
    <t>SakatahLakeMN</t>
  </si>
  <si>
    <t>JCB-54</t>
  </si>
  <si>
    <t>MN_SL_112</t>
  </si>
  <si>
    <t>N</t>
  </si>
  <si>
    <t>NA</t>
  </si>
  <si>
    <t>JCB-58</t>
  </si>
  <si>
    <t>MN_FS_101</t>
  </si>
  <si>
    <t>TwinCitiesMN</t>
  </si>
  <si>
    <t>JCB-68</t>
  </si>
  <si>
    <t>MN_CDR_102</t>
  </si>
  <si>
    <t>JCB-73</t>
  </si>
  <si>
    <t>MN_JCH_101</t>
  </si>
  <si>
    <t>JCB-79</t>
  </si>
  <si>
    <t>IA_103</t>
  </si>
  <si>
    <t>JCB-85</t>
  </si>
  <si>
    <t>MN_SL_108</t>
  </si>
  <si>
    <t>JCB-90</t>
  </si>
  <si>
    <t>MN_FS_107</t>
  </si>
  <si>
    <t>CedarCreekMN</t>
  </si>
  <si>
    <t>JCB-91</t>
  </si>
  <si>
    <t>MN_SL_101</t>
  </si>
  <si>
    <t>JCB-97</t>
  </si>
  <si>
    <t>MN_CDR_109</t>
  </si>
  <si>
    <t>JCB-99</t>
  </si>
  <si>
    <t>MN_JCH_105</t>
  </si>
  <si>
    <t>GalesburgIL</t>
  </si>
  <si>
    <t>OAK-MOR-000739</t>
  </si>
  <si>
    <t>IL</t>
  </si>
  <si>
    <t>Nick Steichmann</t>
  </si>
  <si>
    <t>IL-LAKESTOREY-NS2</t>
  </si>
  <si>
    <t>OAK-MOR-000742</t>
  </si>
  <si>
    <t>IL-LAKESTOREY-NS5</t>
  </si>
  <si>
    <t>OAK-MOR-000743</t>
  </si>
  <si>
    <t>IL-LAKESTOREY-NS6</t>
  </si>
  <si>
    <t>OAK-MOR-000744</t>
  </si>
  <si>
    <t>IL-LAKESTOREY-NS7</t>
  </si>
  <si>
    <t>OAK-MOR-000747</t>
  </si>
  <si>
    <t>IL-LAKESTOREY-NS10</t>
  </si>
  <si>
    <t>OAK-MOR-000748</t>
  </si>
  <si>
    <t>IL-LAKESTOREY-NS11</t>
  </si>
  <si>
    <t>OAK-MOR-000749</t>
  </si>
  <si>
    <t>IL-LAKESTOREY-NS12</t>
  </si>
  <si>
    <t>OAK-MOR-000750</t>
  </si>
  <si>
    <t>IL-LAKESTOREY-NS13</t>
  </si>
  <si>
    <t>OAK-MOR-000751</t>
  </si>
  <si>
    <t>IL-LAKESTOREY-NS14</t>
  </si>
  <si>
    <t>OAK-MOR-000752</t>
  </si>
  <si>
    <t>IL-LAKESTOREY-NS15</t>
  </si>
  <si>
    <t>OAK-MOR-000753</t>
  </si>
  <si>
    <t>IL-LAKESTOREY-NS16</t>
  </si>
  <si>
    <t>OAK-MOR-000755</t>
  </si>
  <si>
    <t>IL-LAKESTOREY-NS18</t>
  </si>
  <si>
    <t>OAK-MOR-000756</t>
  </si>
  <si>
    <t>IL-LAKESTOREY-NS19</t>
  </si>
  <si>
    <t>OAK-MOR-000757</t>
  </si>
  <si>
    <t>IL-LAKESTOREY-NS20</t>
  </si>
  <si>
    <t>AuroraIL</t>
  </si>
  <si>
    <t>OAK-MOR-000759</t>
  </si>
  <si>
    <t>IL-PPWS-NS2</t>
  </si>
  <si>
    <t>OAK-MOR-000760</t>
  </si>
  <si>
    <t>IL-PPWS-NS3</t>
  </si>
  <si>
    <t>OAK-MOR-000761</t>
  </si>
  <si>
    <t>IL-PPWS-NS4</t>
  </si>
  <si>
    <t>OAK-MOR-000762</t>
  </si>
  <si>
    <t>IL-PPWS-NS5</t>
  </si>
  <si>
    <t>OAK-MOR-000765</t>
  </si>
  <si>
    <t>IL-PPWS-NS8</t>
  </si>
  <si>
    <t>GothamWI</t>
  </si>
  <si>
    <t>OAK-MOR-000772</t>
  </si>
  <si>
    <t>WI</t>
  </si>
  <si>
    <t>WI-PINERIVER-NS6</t>
  </si>
  <si>
    <t>OAK-MOR-000774</t>
  </si>
  <si>
    <t>WI-PINERIVER-NS8</t>
  </si>
  <si>
    <t>OAK-MOR-000776</t>
  </si>
  <si>
    <t>WI-PINERIVER-NS10</t>
  </si>
  <si>
    <t>OAK-MOR-000777</t>
  </si>
  <si>
    <t>WI-PINERIVER-NS11</t>
  </si>
  <si>
    <t>OAK-MOR-000778</t>
  </si>
  <si>
    <t>WI-PINERIVER-NS12</t>
  </si>
  <si>
    <t>OAK-MOR-000781</t>
  </si>
  <si>
    <t>WI-PINERIVER-NS15</t>
  </si>
  <si>
    <t>OAK-MOR-000792</t>
  </si>
  <si>
    <t>WI-PINERIVER-NS26</t>
  </si>
  <si>
    <t>CranberrySloughIL</t>
  </si>
  <si>
    <t>OAK-MOR-000965</t>
  </si>
  <si>
    <t>IL-CS-NS5</t>
  </si>
  <si>
    <t>OAK-MOR-001004</t>
  </si>
  <si>
    <t>IL-CS-NS8</t>
  </si>
  <si>
    <t>OAK-MOR-001005</t>
  </si>
  <si>
    <t>IL-CS-NS9</t>
  </si>
  <si>
    <t>OAK-MOR-001006</t>
  </si>
  <si>
    <t>IL-CS-NS10</t>
  </si>
  <si>
    <t>OAK-MOR-001007</t>
  </si>
  <si>
    <t>IL-CS-NS11</t>
  </si>
  <si>
    <t>OAK-MOR-001008</t>
  </si>
  <si>
    <t>IL-CS-NS12</t>
  </si>
  <si>
    <t>OAK-MOR-001010</t>
  </si>
  <si>
    <t>IL-CS-NS14</t>
  </si>
  <si>
    <t>OAK-MOR-001011</t>
  </si>
  <si>
    <t>IL-CS-NS15</t>
  </si>
  <si>
    <t>OAK-MOR-001012</t>
  </si>
  <si>
    <t>IL-CS-NS16</t>
  </si>
  <si>
    <t>OAK-MOR-001014</t>
  </si>
  <si>
    <t>IL-CS-NS18</t>
  </si>
  <si>
    <t>RyersonWoodsIL</t>
  </si>
  <si>
    <t>OAK-MOR-001015</t>
  </si>
  <si>
    <t>IL-RYERSON-NS1</t>
  </si>
  <si>
    <t>OAK-MOR-001016</t>
  </si>
  <si>
    <t>IL-RYERSON-NS2</t>
  </si>
  <si>
    <t>OAK-MOR-001017</t>
  </si>
  <si>
    <t>IL-RYERSON-NS3</t>
  </si>
  <si>
    <t>OAK-MOR-001019</t>
  </si>
  <si>
    <t>IL-RYERSON-NS5</t>
  </si>
  <si>
    <t>OAK-MOR-001020</t>
  </si>
  <si>
    <t>IL-RYERSON-NS6</t>
  </si>
  <si>
    <t>OAK-MOR-001021</t>
  </si>
  <si>
    <t>IL-RYERSON-NS7</t>
  </si>
  <si>
    <t>OAK-MOR-001023</t>
  </si>
  <si>
    <t>IL-RYERSON-NS9</t>
  </si>
  <si>
    <t>OAK-MOR-001025</t>
  </si>
  <si>
    <t>IL-RYERSON-NS11</t>
  </si>
  <si>
    <t>OAK-MOR-001026</t>
  </si>
  <si>
    <t>IL-RYERSON-NS12</t>
  </si>
  <si>
    <t>OAK-MOR-001027</t>
  </si>
  <si>
    <t>IL-RYERSON-NS13</t>
  </si>
  <si>
    <t>LittleRockAR</t>
  </si>
  <si>
    <t>OAK-MOR-001039</t>
  </si>
  <si>
    <t>Alan Whittemore</t>
  </si>
  <si>
    <t>15-090</t>
  </si>
  <si>
    <t>BuescherTX</t>
  </si>
  <si>
    <t>OAK-MOR-001062</t>
  </si>
  <si>
    <t>15-074 Tree 9</t>
  </si>
  <si>
    <t>OAK-MOR-001063</t>
  </si>
  <si>
    <t>15-074 Tree 10</t>
  </si>
  <si>
    <t>OAK-MOR-001064</t>
  </si>
  <si>
    <t>IL-RYERSON-NS14</t>
  </si>
  <si>
    <t>OAK-MOR-001065</t>
  </si>
  <si>
    <t>IL-RYERSON-NS15</t>
  </si>
  <si>
    <t>OAK-MOR-001066</t>
  </si>
  <si>
    <t>IL-RYERSON-NS16</t>
  </si>
  <si>
    <t>OAK-MOR-001067</t>
  </si>
  <si>
    <t>IL-RYERSON-NS17</t>
  </si>
  <si>
    <t>OAK-MOR-001068</t>
  </si>
  <si>
    <t>IL-RYERSON-NS18</t>
  </si>
  <si>
    <t>OAK-MOR-001069</t>
  </si>
  <si>
    <t>IL-RYERSON-NS19</t>
  </si>
  <si>
    <t>OAK-MOR-001070</t>
  </si>
  <si>
    <t>IL-RYERSON-NS20</t>
  </si>
  <si>
    <t>OAK-MOR-001072</t>
  </si>
  <si>
    <t>WI-PINERIVER-NS28</t>
  </si>
  <si>
    <t>BienvilleMS</t>
  </si>
  <si>
    <t>OAK-MOR-001073</t>
  </si>
  <si>
    <t>15-042-5</t>
  </si>
  <si>
    <t>OAK-MOR-001074</t>
  </si>
  <si>
    <t>15-042-8</t>
  </si>
  <si>
    <t>OAK-MOR-001075</t>
  </si>
  <si>
    <t>15-042-11</t>
  </si>
  <si>
    <t>OAK-MOR-001076</t>
  </si>
  <si>
    <t>15-042-13</t>
  </si>
  <si>
    <t>OAK-MOR-001077</t>
  </si>
  <si>
    <t>15-042-14</t>
  </si>
  <si>
    <t>OAK-MOR-001078</t>
  </si>
  <si>
    <t>15-042-15</t>
  </si>
  <si>
    <t>OAK-MOR-001079</t>
  </si>
  <si>
    <t>15-042-16</t>
  </si>
  <si>
    <t>OAK-MOR-001080</t>
  </si>
  <si>
    <t>15-042-17</t>
  </si>
  <si>
    <t>PleasantValleyWI</t>
  </si>
  <si>
    <t>OAK-MOR-001236</t>
  </si>
  <si>
    <t>Mira Garner; Andrew Hipp; Sara Desmond; Mary-Claire Glasenhardt; Kasey Pham; Amy Byrne</t>
  </si>
  <si>
    <t>WI-MG229</t>
  </si>
  <si>
    <t>OAK-MOR-001237</t>
  </si>
  <si>
    <t>WI-MG230</t>
  </si>
  <si>
    <t>OAK-MOR-001238</t>
  </si>
  <si>
    <t>Mira Garner; Sara Desmond; Douglas McNew</t>
  </si>
  <si>
    <t>IA-MG-261</t>
  </si>
  <si>
    <t>BonaparteIA</t>
  </si>
  <si>
    <t>OAK-MOR-001241</t>
  </si>
  <si>
    <t>Mira Garner; Sara Desmond</t>
  </si>
  <si>
    <t>IA-MG-269</t>
  </si>
  <si>
    <t>OAK-MOR-001242</t>
  </si>
  <si>
    <t>IA-MG-270</t>
  </si>
  <si>
    <t>OAK-MOR-001243</t>
  </si>
  <si>
    <t>IA-MG-274</t>
  </si>
  <si>
    <t>HaHaTonkaMO</t>
  </si>
  <si>
    <t>OAK-MOR-001244</t>
  </si>
  <si>
    <t>MO</t>
  </si>
  <si>
    <t>MO-MG325</t>
  </si>
  <si>
    <t>OAK-MOR-001245</t>
  </si>
  <si>
    <t>MO-MG326</t>
  </si>
  <si>
    <t>OAK-MOR-001246</t>
  </si>
  <si>
    <t>MO-MG327</t>
  </si>
  <si>
    <t>PawhuskaOK</t>
  </si>
  <si>
    <t>OAK-MOR-001247</t>
  </si>
  <si>
    <t>OK</t>
  </si>
  <si>
    <t>OK-MG281</t>
  </si>
  <si>
    <t>OAK-MOR-001248</t>
  </si>
  <si>
    <t>OK-MG282</t>
  </si>
  <si>
    <t>HintonOK</t>
  </si>
  <si>
    <t>OAK-MOR-001249</t>
  </si>
  <si>
    <t>OK-MG362</t>
  </si>
  <si>
    <t>OAK-MOR-001253</t>
  </si>
  <si>
    <t>AR</t>
  </si>
  <si>
    <t>Mira Garner; Sara Desmond; Eric Sundell</t>
  </si>
  <si>
    <t>AR-MG385</t>
  </si>
  <si>
    <t>OAK-MOR-001254</t>
  </si>
  <si>
    <t>AR-MG387</t>
  </si>
  <si>
    <t>EminenceMO</t>
  </si>
  <si>
    <t>OAK-MOR-001255</t>
  </si>
  <si>
    <t>MO-MG401</t>
  </si>
  <si>
    <t>OAK-MOR-001256</t>
  </si>
  <si>
    <t>MO-MG402</t>
  </si>
  <si>
    <t>CedarRapidsIA</t>
  </si>
  <si>
    <t>OAK-MOR-001257</t>
  </si>
  <si>
    <t>IA-MG-239</t>
  </si>
  <si>
    <t>TulsaOK</t>
  </si>
  <si>
    <t>OAK-MOR-001258</t>
  </si>
  <si>
    <t>OK-MG349</t>
  </si>
  <si>
    <t>NormanOK</t>
  </si>
  <si>
    <t>OAK-MOR-001260</t>
  </si>
  <si>
    <t>Mira Garner; Sara Desmond; Abigail Moore</t>
  </si>
  <si>
    <t>OK-MG376</t>
  </si>
  <si>
    <t>WinonaMN</t>
  </si>
  <si>
    <t>OAK-MOR-001261</t>
  </si>
  <si>
    <t>Mira Garner; Sara Desmond; Bill Carter</t>
  </si>
  <si>
    <t>MN-MG493</t>
  </si>
  <si>
    <t>SpruceWoodsMB</t>
  </si>
  <si>
    <t>OAK-MOR-001263</t>
  </si>
  <si>
    <t>Canada</t>
  </si>
  <si>
    <t>Manitoba</t>
  </si>
  <si>
    <t>MB-MG519</t>
  </si>
  <si>
    <t>AssiniboineMB</t>
  </si>
  <si>
    <t>OAK-MOR-001264</t>
  </si>
  <si>
    <t>MB-MG527</t>
  </si>
  <si>
    <t>RoundLakeWI</t>
  </si>
  <si>
    <t>OAK-MOR-001265</t>
  </si>
  <si>
    <t>WI-MG538</t>
  </si>
  <si>
    <t>MinookaKS</t>
  </si>
  <si>
    <t>OAK-MOR-001266</t>
  </si>
  <si>
    <t>KS</t>
  </si>
  <si>
    <t>Ian Pearse</t>
  </si>
  <si>
    <t>Minooka 2</t>
  </si>
  <si>
    <t>ChickenbristleIL</t>
  </si>
  <si>
    <t>OAK-MOR-001267</t>
  </si>
  <si>
    <t>Chickenbristle 3</t>
  </si>
  <si>
    <t>OAK-MOR-001268</t>
  </si>
  <si>
    <t>Chickenbristle 4</t>
  </si>
  <si>
    <t>ShawneeIL</t>
  </si>
  <si>
    <t>OAK-MOR-001269</t>
  </si>
  <si>
    <t>IL-MG602</t>
  </si>
  <si>
    <t>OAK-MOR-001270</t>
  </si>
  <si>
    <t>IL-MG603</t>
  </si>
  <si>
    <t>SpringMillIN</t>
  </si>
  <si>
    <t>OAK-MOR-001271</t>
  </si>
  <si>
    <t>IN</t>
  </si>
  <si>
    <t>IN-MG606</t>
  </si>
  <si>
    <t>OAK-MOR-001273</t>
  </si>
  <si>
    <t>IN-MG612</t>
  </si>
  <si>
    <t>OAK-MOR-001274</t>
  </si>
  <si>
    <t>IN-MG619</t>
  </si>
  <si>
    <t>TaylorIN</t>
  </si>
  <si>
    <t>OAK-MOR-001277</t>
  </si>
  <si>
    <t>IN-MG626</t>
  </si>
  <si>
    <t>OAK-MOR-001278</t>
  </si>
  <si>
    <t>IN-MG629</t>
  </si>
  <si>
    <t>DunesIN</t>
  </si>
  <si>
    <t>OAK-MOR-001279</t>
  </si>
  <si>
    <t>Mira Garner; Kasey Pham</t>
  </si>
  <si>
    <t>IN-MG642</t>
  </si>
  <si>
    <t>LitchfieldCT</t>
  </si>
  <si>
    <t>OAK-MOR-001280</t>
  </si>
  <si>
    <t>CT</t>
  </si>
  <si>
    <t>Paul Gugger</t>
  </si>
  <si>
    <t>QUMAC-1028</t>
  </si>
  <si>
    <t>BerkshireMA</t>
  </si>
  <si>
    <t>OAK-MOR-001282</t>
  </si>
  <si>
    <t>MA</t>
  </si>
  <si>
    <t>QUMAC-1032</t>
  </si>
  <si>
    <t>RutlandVT</t>
  </si>
  <si>
    <t>OAK-MOR-001284</t>
  </si>
  <si>
    <t>VT</t>
  </si>
  <si>
    <t>QUAL-1037</t>
  </si>
  <si>
    <t>BurlingtonVT</t>
  </si>
  <si>
    <t>OAK-MOR-001286</t>
  </si>
  <si>
    <t>QUMAC-1053</t>
  </si>
  <si>
    <t>QUE002155</t>
  </si>
  <si>
    <t>OAK-MOR-001287</t>
  </si>
  <si>
    <t>QUAL-1054</t>
  </si>
  <si>
    <t>EurekaMO</t>
  </si>
  <si>
    <t>OAK-MOR-001288</t>
  </si>
  <si>
    <t>Mira Garner; Lindsey Worcester</t>
  </si>
  <si>
    <t>MO-MG563</t>
  </si>
  <si>
    <t>OAK-MOR-001289</t>
  </si>
  <si>
    <t>MO-MG564</t>
  </si>
  <si>
    <t>OAK-MOR-001290</t>
  </si>
  <si>
    <t>MO-MG565</t>
  </si>
  <si>
    <t>SullivanMO</t>
  </si>
  <si>
    <t>OAK-MOR-001291</t>
  </si>
  <si>
    <t>MO-MG572</t>
  </si>
  <si>
    <t>OAK-MOR-001293</t>
  </si>
  <si>
    <t>MO-MG585</t>
  </si>
  <si>
    <t>OAK-MOR-001294</t>
  </si>
  <si>
    <t>MO-MG586</t>
  </si>
  <si>
    <t>OAK-MOR-001295</t>
  </si>
  <si>
    <t>MO-MG595</t>
  </si>
  <si>
    <t>ShawneeMissionKS</t>
  </si>
  <si>
    <t>OAK-MOR-001296</t>
  </si>
  <si>
    <t>Mira Garner; Craig C. Freeman; Sara Desmond</t>
  </si>
  <si>
    <t>KS-MG427</t>
  </si>
  <si>
    <t>OAK-MOR-001298</t>
  </si>
  <si>
    <t>KS-MG431</t>
  </si>
  <si>
    <t>OAK-MOR-001299</t>
  </si>
  <si>
    <t>KS-MG432</t>
  </si>
  <si>
    <t>OAK-MOR-001300</t>
  </si>
  <si>
    <t>KS-MG433</t>
  </si>
  <si>
    <t>BaldwinKS</t>
  </si>
  <si>
    <t>OAK-MOR-001304</t>
  </si>
  <si>
    <t>KS-MG465</t>
  </si>
  <si>
    <t>KonzaKS</t>
  </si>
  <si>
    <t>OAK-MOR-001306</t>
  </si>
  <si>
    <t>KS-MG482</t>
  </si>
  <si>
    <t>OAK-MOR-001307</t>
  </si>
  <si>
    <t>KS-MG483</t>
  </si>
  <si>
    <t>OAK-MOR-001308</t>
  </si>
  <si>
    <t>KS-MG484</t>
  </si>
  <si>
    <t>PinconningMI</t>
  </si>
  <si>
    <t>OAK-MOR-001309</t>
  </si>
  <si>
    <t>MI</t>
  </si>
  <si>
    <t>MI-MG663</t>
  </si>
  <si>
    <t>AnnArborMI</t>
  </si>
  <si>
    <t>OAK-MOR-001310</t>
  </si>
  <si>
    <t>MI-MG673</t>
  </si>
  <si>
    <t>OAK-MOR-001311</t>
  </si>
  <si>
    <t>MI-MG674</t>
  </si>
  <si>
    <t>EastLansingMI</t>
  </si>
  <si>
    <t>OAK-MOR-001312</t>
  </si>
  <si>
    <t>MI-MG692</t>
  </si>
  <si>
    <t>OAK-MOR-001315</t>
  </si>
  <si>
    <t>MI-MG698</t>
  </si>
  <si>
    <t>DodgevilleWI</t>
  </si>
  <si>
    <t>OAK-MOR-001317|OAK-MOR-1340</t>
  </si>
  <si>
    <t>Mira Garner</t>
  </si>
  <si>
    <t>WI-MG704</t>
  </si>
  <si>
    <t>OttawaWI</t>
  </si>
  <si>
    <t>OAK-MOR-001318</t>
  </si>
  <si>
    <t>Mira Garner; Nancy Deaton; Marlin Johnson</t>
  </si>
  <si>
    <t>WI-MG736</t>
  </si>
  <si>
    <t>OAK-MOR-001319</t>
  </si>
  <si>
    <t>WI-MG737</t>
  </si>
  <si>
    <t>OttawaBluffsMN</t>
  </si>
  <si>
    <t>OAK-MOR-001320</t>
  </si>
  <si>
    <t>MN-MG761</t>
  </si>
  <si>
    <t>DaughmerOH</t>
  </si>
  <si>
    <t>OAK-MOR-001322</t>
  </si>
  <si>
    <t>OH</t>
  </si>
  <si>
    <t>OH-MG808</t>
  </si>
  <si>
    <t>GollWoodsOH</t>
  </si>
  <si>
    <t>OAK-MOR-001323</t>
  </si>
  <si>
    <t>OH-MG817</t>
  </si>
  <si>
    <t>OAK-MOR-001324</t>
  </si>
  <si>
    <t>OH-MG818</t>
  </si>
  <si>
    <t>OAK-MOR-001325</t>
  </si>
  <si>
    <t>OH-MG830</t>
  </si>
  <si>
    <t>OAK-MOR-001326</t>
  </si>
  <si>
    <t>IL-MG863</t>
  </si>
  <si>
    <t>OAK-MOR-001328</t>
  </si>
  <si>
    <t>IL-MG865</t>
  </si>
  <si>
    <t>FullersburgWoodsIL</t>
  </si>
  <si>
    <t>OAK-MOR-001329</t>
  </si>
  <si>
    <t>IL-MG872</t>
  </si>
  <si>
    <t>CusterSD</t>
  </si>
  <si>
    <t>OAK-MOR-001333</t>
  </si>
  <si>
    <t>SD</t>
  </si>
  <si>
    <t>Jeannine Cavender-Bares</t>
  </si>
  <si>
    <t>JCB-SD-US16-1010</t>
  </si>
  <si>
    <t>OAK-MOR-001337</t>
  </si>
  <si>
    <t>WI-MG701</t>
  </si>
  <si>
    <t>OAK-MOR-001342</t>
  </si>
  <si>
    <t>WI-MG706</t>
  </si>
  <si>
    <t>OAK-MOR-001343</t>
  </si>
  <si>
    <t>WI-MG707</t>
  </si>
  <si>
    <t>OAK-MOR-001344</t>
  </si>
  <si>
    <t>WI-MG708</t>
  </si>
  <si>
    <t>OAK-MOR-001345</t>
  </si>
  <si>
    <t>WI-MG710</t>
  </si>
  <si>
    <t>OAK-MOR-001346</t>
  </si>
  <si>
    <t>WI-MG711</t>
  </si>
  <si>
    <t>OAK-MOR-001347</t>
  </si>
  <si>
    <t>WI-MG712</t>
  </si>
  <si>
    <t>MortonArbIL</t>
  </si>
  <si>
    <t>OAK-MOR-001348</t>
  </si>
  <si>
    <t>Andrew L. Hipp &amp; Mira Garner</t>
  </si>
  <si>
    <t>OAK-MOR-001361</t>
  </si>
  <si>
    <t>Mira Garner; Sara Desmond; Douglas McNew; Thomas Harrington</t>
  </si>
  <si>
    <t>IA-MG-252</t>
  </si>
  <si>
    <t>OAK-MOR-001371</t>
  </si>
  <si>
    <t>MO-MG332</t>
  </si>
  <si>
    <t>OAK-MOR-001377</t>
  </si>
  <si>
    <t>OK-MG290</t>
  </si>
  <si>
    <t>OAK-MOR-001378</t>
  </si>
  <si>
    <t>OK-MG346</t>
  </si>
  <si>
    <t>OAK-MOR-001379</t>
  </si>
  <si>
    <t>OK-MG347</t>
  </si>
  <si>
    <t>OAK-MOR-001380</t>
  </si>
  <si>
    <t>OK-MG351</t>
  </si>
  <si>
    <t>OAK-MOR-001381</t>
  </si>
  <si>
    <t>OK-MG354</t>
  </si>
  <si>
    <t>OAK-MOR-001382</t>
  </si>
  <si>
    <t>OK-MG355</t>
  </si>
  <si>
    <t>OAK-MOR-001383</t>
  </si>
  <si>
    <t>OK-MG367</t>
  </si>
  <si>
    <t>OAK-MOR-001384</t>
  </si>
  <si>
    <t>OK-MG369</t>
  </si>
  <si>
    <t>OAK-MOR-001386</t>
  </si>
  <si>
    <t>OK-MG373</t>
  </si>
  <si>
    <t>OAK-MOR-001387</t>
  </si>
  <si>
    <t>OK-MG381</t>
  </si>
  <si>
    <t>OAK-MOR-001388</t>
  </si>
  <si>
    <t>AR-MG389</t>
  </si>
  <si>
    <t>OAK-MOR-001389</t>
  </si>
  <si>
    <t>AR-MG391</t>
  </si>
  <si>
    <t>OAK-MOR-001390</t>
  </si>
  <si>
    <t>AR-MG392</t>
  </si>
  <si>
    <t>OAK-MOR-001391</t>
  </si>
  <si>
    <t>AR-MG393</t>
  </si>
  <si>
    <t>OAK-MOR-001392</t>
  </si>
  <si>
    <t>AR-MG394</t>
  </si>
  <si>
    <t>OAK-MOR-001393</t>
  </si>
  <si>
    <t>AR-MG397</t>
  </si>
  <si>
    <t>OAK-MOR-001394</t>
  </si>
  <si>
    <t>MO-MG398</t>
  </si>
  <si>
    <t>OAK-MOR-001395</t>
  </si>
  <si>
    <t>MO-MG399</t>
  </si>
  <si>
    <t>OAK-MOR-001396</t>
  </si>
  <si>
    <t>MO-MG405</t>
  </si>
  <si>
    <t>OAK-MOR-001397</t>
  </si>
  <si>
    <t>MN-MG494</t>
  </si>
  <si>
    <t>OAK-MOR-001399</t>
  </si>
  <si>
    <t>MN-MG499</t>
  </si>
  <si>
    <t>WhiteshellMB</t>
  </si>
  <si>
    <t>OAK-MOR-001402</t>
  </si>
  <si>
    <t>Mira Garner; Sara Desmond; Bruce Ford</t>
  </si>
  <si>
    <t>MB-MG515</t>
  </si>
  <si>
    <t>OAK-MOR-001404</t>
  </si>
  <si>
    <t>MB-MG525</t>
  </si>
  <si>
    <t>OAK-MOR-001407</t>
  </si>
  <si>
    <t>WI-MG536</t>
  </si>
  <si>
    <t>OAK-MOR-001408</t>
  </si>
  <si>
    <t>WI-MG541</t>
  </si>
  <si>
    <t>OAK-MOR-001409</t>
  </si>
  <si>
    <t>Minooka 3</t>
  </si>
  <si>
    <t>SalinaKS</t>
  </si>
  <si>
    <t>OAK-MOR-001411</t>
  </si>
  <si>
    <t>Salina 3</t>
  </si>
  <si>
    <t>OAK-MOR-001412</t>
  </si>
  <si>
    <t>Salina 4</t>
  </si>
  <si>
    <t>OAK-MOR-001413</t>
  </si>
  <si>
    <t>Chickenbristle 1</t>
  </si>
  <si>
    <t>OAK-MOR-001414</t>
  </si>
  <si>
    <t>Chickenbristle 2</t>
  </si>
  <si>
    <t>OAK-MOR-001415</t>
  </si>
  <si>
    <t>Chickenbristle 5</t>
  </si>
  <si>
    <t>OAK-MOR-001416</t>
  </si>
  <si>
    <t>IL-MG604</t>
  </si>
  <si>
    <t>OAK-MOR-001417</t>
  </si>
  <si>
    <t>IL-MG605</t>
  </si>
  <si>
    <t>OAK-MOR-001418</t>
  </si>
  <si>
    <t>IN-MG608</t>
  </si>
  <si>
    <t>OAK-MOR-001420</t>
  </si>
  <si>
    <t>IN-MG617</t>
  </si>
  <si>
    <t>OAK-MOR-001421</t>
  </si>
  <si>
    <t>IN-MG620</t>
  </si>
  <si>
    <t>OAK-MOR-001423</t>
  </si>
  <si>
    <t>IN-MG627</t>
  </si>
  <si>
    <t>OAK-MOR-001425</t>
  </si>
  <si>
    <t>IN-MG630</t>
  </si>
  <si>
    <t>HobartIN</t>
  </si>
  <si>
    <t>OAK-MOR-001426</t>
  </si>
  <si>
    <t>IN-MG631</t>
  </si>
  <si>
    <t>OAK-MOR-001427</t>
  </si>
  <si>
    <t>IN-MG635</t>
  </si>
  <si>
    <t>OAK-MOR-001428</t>
  </si>
  <si>
    <t>IN-MG640</t>
  </si>
  <si>
    <t>OAK-MOR-001429</t>
  </si>
  <si>
    <t>IN-MG645</t>
  </si>
  <si>
    <t>OAK-MOR-001430</t>
  </si>
  <si>
    <t>IN-MG649</t>
  </si>
  <si>
    <t>OAK-MOR-001432</t>
  </si>
  <si>
    <t>QUMAC-1031</t>
  </si>
  <si>
    <t>BenningtonVT</t>
  </si>
  <si>
    <t>OAK-MOR-001433</t>
  </si>
  <si>
    <t>QUMAC-1033</t>
  </si>
  <si>
    <t>OAK-MOR-001434</t>
  </si>
  <si>
    <t>QUMAC-1034</t>
  </si>
  <si>
    <t>OAK-MOR-001435</t>
  </si>
  <si>
    <t>QUMAC-1035</t>
  </si>
  <si>
    <t>OAK-MOR-001436</t>
  </si>
  <si>
    <t>QUMAC-1038</t>
  </si>
  <si>
    <t>OAK-MOR-001437</t>
  </si>
  <si>
    <t>QUMAC-1039</t>
  </si>
  <si>
    <t>AddisonVT</t>
  </si>
  <si>
    <t>OAK-MOR-001438</t>
  </si>
  <si>
    <t>QUMAC-1040</t>
  </si>
  <si>
    <t>OAK-MOR-001439</t>
  </si>
  <si>
    <t>QUMAC-1042</t>
  </si>
  <si>
    <t>OAK-MOR-001440</t>
  </si>
  <si>
    <t>QUMAC-1046</t>
  </si>
  <si>
    <t>FerrisburghVT</t>
  </si>
  <si>
    <t>OAK-MOR-001441</t>
  </si>
  <si>
    <t>QUMAC-1047</t>
  </si>
  <si>
    <t>OAK-MOR-001442</t>
  </si>
  <si>
    <t>QUAL-1048</t>
  </si>
  <si>
    <t>OAK-MOR-001443</t>
  </si>
  <si>
    <t>QUMAC-1049</t>
  </si>
  <si>
    <t>OAK-MOR-001444</t>
  </si>
  <si>
    <t>QUMAC-1050</t>
  </si>
  <si>
    <t>QUE002157</t>
  </si>
  <si>
    <t>OAK-MOR-001446</t>
  </si>
  <si>
    <t>QUAL-1056</t>
  </si>
  <si>
    <t>OAK-MOR-001448</t>
  </si>
  <si>
    <t>QUMAC-1058</t>
  </si>
  <si>
    <t>GrandIsleVT</t>
  </si>
  <si>
    <t>OAK-MOR-001449</t>
  </si>
  <si>
    <t>QUMAC-1059</t>
  </si>
  <si>
    <t>OAK-MOR-001450</t>
  </si>
  <si>
    <t>QUMAC-1060</t>
  </si>
  <si>
    <t>ShawMO</t>
  </si>
  <si>
    <t>OAK-MOR-001452</t>
  </si>
  <si>
    <t>Mira Garner; Lindsey Worcester; James Trager</t>
  </si>
  <si>
    <t>MO-MG542</t>
  </si>
  <si>
    <t>OAK-MOR-001453</t>
  </si>
  <si>
    <t>MO-MG546</t>
  </si>
  <si>
    <t>OAK-MOR-001454</t>
  </si>
  <si>
    <t>MO-MG551</t>
  </si>
  <si>
    <t>OAK-MOR-001455</t>
  </si>
  <si>
    <t>MO-MG552</t>
  </si>
  <si>
    <t>OAK-MOR-001456</t>
  </si>
  <si>
    <t>MO-MG556</t>
  </si>
  <si>
    <t>OAK-MOR-001459</t>
  </si>
  <si>
    <t>MO-MG570</t>
  </si>
  <si>
    <t>OAK-MOR-001460</t>
  </si>
  <si>
    <t>MO-MG571</t>
  </si>
  <si>
    <t>OAK-MOR-001461</t>
  </si>
  <si>
    <t>MO-MG578</t>
  </si>
  <si>
    <t>OAK-MOR-001462</t>
  </si>
  <si>
    <t>MO-MG592</t>
  </si>
  <si>
    <t>OAK-MOR-001463</t>
  </si>
  <si>
    <t>MO-MG601</t>
  </si>
  <si>
    <t>OAK-MOR-001464</t>
  </si>
  <si>
    <t>KS-MG406</t>
  </si>
  <si>
    <t>OAK-MOR-001465</t>
  </si>
  <si>
    <t>KS-MG409</t>
  </si>
  <si>
    <t>OAK-MOR-001466</t>
  </si>
  <si>
    <t>KS-MG412</t>
  </si>
  <si>
    <t>OAK-MOR-001468</t>
  </si>
  <si>
    <t>KS-MG420</t>
  </si>
  <si>
    <t>OAK-MOR-001469</t>
  </si>
  <si>
    <t>KS-MG436</t>
  </si>
  <si>
    <t>OAK-MOR-001470</t>
  </si>
  <si>
    <t>KS-MG441</t>
  </si>
  <si>
    <t>OAK-MOR-001471</t>
  </si>
  <si>
    <t>KS-MG445</t>
  </si>
  <si>
    <t>OAK-MOR-001472</t>
  </si>
  <si>
    <t>KS-MG447</t>
  </si>
  <si>
    <t>OAK-MOR-001473</t>
  </si>
  <si>
    <t>KS-MG448</t>
  </si>
  <si>
    <t>OAK-MOR-001474</t>
  </si>
  <si>
    <t>KS-MG449</t>
  </si>
  <si>
    <t>OAK-MOR-001475</t>
  </si>
  <si>
    <t>KS-MG455</t>
  </si>
  <si>
    <t>OAK-MOR-001476</t>
  </si>
  <si>
    <t>KS-MG470</t>
  </si>
  <si>
    <t>OAK-MOR-001477</t>
  </si>
  <si>
    <t>KS-MG471</t>
  </si>
  <si>
    <t>OAK-MOR-001478</t>
  </si>
  <si>
    <t>KS-MG479</t>
  </si>
  <si>
    <t>OAK-MOR-001479</t>
  </si>
  <si>
    <t>KS-MG490</t>
  </si>
  <si>
    <t>ThreeRiversMI</t>
  </si>
  <si>
    <t>OAK-MOR-001480</t>
  </si>
  <si>
    <t>MI-MG650</t>
  </si>
  <si>
    <t>OAK-MOR-001481</t>
  </si>
  <si>
    <t>MI-MG651</t>
  </si>
  <si>
    <t>OAK-MOR-001482</t>
  </si>
  <si>
    <t>MI-MG652</t>
  </si>
  <si>
    <t>OAK-MOR-001483</t>
  </si>
  <si>
    <t>MI-MG656</t>
  </si>
  <si>
    <t>OAK-MOR-001484</t>
  </si>
  <si>
    <t>MI-MG661</t>
  </si>
  <si>
    <t>OAK-MOR-001485</t>
  </si>
  <si>
    <t>MI-MG668</t>
  </si>
  <si>
    <t>OAK-MOR-001486</t>
  </si>
  <si>
    <t>MI-MG672</t>
  </si>
  <si>
    <t>OAK-MOR-001487</t>
  </si>
  <si>
    <t>MI-MG675</t>
  </si>
  <si>
    <t>OAK-MOR-001488</t>
  </si>
  <si>
    <t>MI-MG676</t>
  </si>
  <si>
    <t>OAK-MOR-001489</t>
  </si>
  <si>
    <t>MI-MG678</t>
  </si>
  <si>
    <t>OAK-MOR-001490</t>
  </si>
  <si>
    <t>MI-MG679</t>
  </si>
  <si>
    <t>OAK-MOR-001491</t>
  </si>
  <si>
    <t>MI-MG683</t>
  </si>
  <si>
    <t>OAK-MOR-001492</t>
  </si>
  <si>
    <t>MI-MG684</t>
  </si>
  <si>
    <t>OAK-MOR-001493</t>
  </si>
  <si>
    <t>MI-MG688</t>
  </si>
  <si>
    <t>OAK-MOR-001494</t>
  </si>
  <si>
    <t>MI-MG699</t>
  </si>
  <si>
    <t>OAK-MOR-001495</t>
  </si>
  <si>
    <t>WI-MG716</t>
  </si>
  <si>
    <t>OAK-MOR-001496</t>
  </si>
  <si>
    <t>WI-MG720</t>
  </si>
  <si>
    <t>OAK-MOR-001497</t>
  </si>
  <si>
    <t>WI-MG721</t>
  </si>
  <si>
    <t>OAK-MOR-001498</t>
  </si>
  <si>
    <t>WI-MG722</t>
  </si>
  <si>
    <t>OAK-MOR-001499</t>
  </si>
  <si>
    <t>WI-MG729</t>
  </si>
  <si>
    <t>OAK-MOR-001500</t>
  </si>
  <si>
    <t>WI-MG730</t>
  </si>
  <si>
    <t>MadisonWI</t>
  </si>
  <si>
    <t>OAK-MOR-001501</t>
  </si>
  <si>
    <t>Mira Garner; Hiam Garner</t>
  </si>
  <si>
    <t>WI-MG741</t>
  </si>
  <si>
    <t>OAK-MOR-001502</t>
  </si>
  <si>
    <t>WI-MG747</t>
  </si>
  <si>
    <t>OAK-MOR-001503</t>
  </si>
  <si>
    <t>WI-MG748</t>
  </si>
  <si>
    <t>OAK-MOR-001504</t>
  </si>
  <si>
    <t>WI-MG753</t>
  </si>
  <si>
    <t>OAK-MOR-001505</t>
  </si>
  <si>
    <t>WI-MG754</t>
  </si>
  <si>
    <t>OAK-MOR-001506</t>
  </si>
  <si>
    <t>WI-MG759</t>
  </si>
  <si>
    <t>OAK-MOR-001507</t>
  </si>
  <si>
    <t>MN-MG764</t>
  </si>
  <si>
    <t>OAK-MOR-001508</t>
  </si>
  <si>
    <t>MN-MG767</t>
  </si>
  <si>
    <t>QuarryParkMN</t>
  </si>
  <si>
    <t>OAK-MOR-001509</t>
  </si>
  <si>
    <t>MN-MG770</t>
  </si>
  <si>
    <t>OAK-MOR-001510</t>
  </si>
  <si>
    <t>MN-MG780</t>
  </si>
  <si>
    <t>OAK-MOR-001511</t>
  </si>
  <si>
    <t>MN-MG782</t>
  </si>
  <si>
    <t>OAK-MOR-001512</t>
  </si>
  <si>
    <t>MN-MG787</t>
  </si>
  <si>
    <t>OAK-MOR-001513</t>
  </si>
  <si>
    <t>MN-MG790</t>
  </si>
  <si>
    <t>FortWayneIN</t>
  </si>
  <si>
    <t>OAK-MOR-001514</t>
  </si>
  <si>
    <t>IN-MG791</t>
  </si>
  <si>
    <t>OAK-MOR-001516</t>
  </si>
  <si>
    <t>IN-MG796</t>
  </si>
  <si>
    <t>PearlKingOH</t>
  </si>
  <si>
    <t>OAK-MOR-001517</t>
  </si>
  <si>
    <t>OH-MG797</t>
  </si>
  <si>
    <t>OAK-MOR-001519</t>
  </si>
  <si>
    <t>OH-MG804</t>
  </si>
  <si>
    <t>OAK-MOR-001520</t>
  </si>
  <si>
    <t>OH-MG811</t>
  </si>
  <si>
    <t>OAK-MOR-001521</t>
  </si>
  <si>
    <t>OH-MG815</t>
  </si>
  <si>
    <t>OAK-MOR-001522</t>
  </si>
  <si>
    <t>OH-MG821</t>
  </si>
  <si>
    <t>OAK-MOR-001523</t>
  </si>
  <si>
    <t>OH-MG824</t>
  </si>
  <si>
    <t>OAK-MOR-001524</t>
  </si>
  <si>
    <t>OH-MG825</t>
  </si>
  <si>
    <t>OAK-MOR-001525</t>
  </si>
  <si>
    <t>OH-MG829</t>
  </si>
  <si>
    <t>OAK-MOR-001526</t>
  </si>
  <si>
    <t>OH-MG831</t>
  </si>
  <si>
    <t>OAK-MOR-001527</t>
  </si>
  <si>
    <t>IL-MG832</t>
  </si>
  <si>
    <t>OAK-MOR-001528</t>
  </si>
  <si>
    <t>IL-MG833</t>
  </si>
  <si>
    <t>OAK-MOR-001529</t>
  </si>
  <si>
    <t>IL-MG839</t>
  </si>
  <si>
    <t>OAK-MOR-001530</t>
  </si>
  <si>
    <t>IL-MG840</t>
  </si>
  <si>
    <t>OAK-MOR-001531</t>
  </si>
  <si>
    <t>IL-MG847</t>
  </si>
  <si>
    <t>OAK-MOR-001532</t>
  </si>
  <si>
    <t>IL-MG848</t>
  </si>
  <si>
    <t>GooseLakeIL</t>
  </si>
  <si>
    <t>OAK-MOR-001533</t>
  </si>
  <si>
    <t>IL-MG852</t>
  </si>
  <si>
    <t>OAK-MOR-001534</t>
  </si>
  <si>
    <t>IL-MG855</t>
  </si>
  <si>
    <t>OAK-MOR-001535</t>
  </si>
  <si>
    <t>IL-MG857</t>
  </si>
  <si>
    <t>OAK-MOR-001536</t>
  </si>
  <si>
    <t>IL-MG858</t>
  </si>
  <si>
    <t>OAK-MOR-001537</t>
  </si>
  <si>
    <t>IL-MG859</t>
  </si>
  <si>
    <t>OAK-MOR-001538</t>
  </si>
  <si>
    <t>IL-MG866</t>
  </si>
  <si>
    <t>OAK-MOR-001539</t>
  </si>
  <si>
    <t>IL-MG868</t>
  </si>
  <si>
    <t>OAK-MOR-001540</t>
  </si>
  <si>
    <t>IL-MG870</t>
  </si>
  <si>
    <t>OAK-MOR-001541</t>
  </si>
  <si>
    <t>IL-MG871</t>
  </si>
  <si>
    <t>OAK-MOR-001542</t>
  </si>
  <si>
    <t>IL-MG879</t>
  </si>
  <si>
    <t>OAK-MOR-001543</t>
  </si>
  <si>
    <t>IL-MG881</t>
  </si>
  <si>
    <t>OAK-MOR-001544</t>
  </si>
  <si>
    <t>IL-MG892</t>
  </si>
  <si>
    <t>OAK-MOR-001545</t>
  </si>
  <si>
    <t>IL-MG893</t>
  </si>
  <si>
    <t>OAK-MOR-001546</t>
  </si>
  <si>
    <t>IL-MG895</t>
  </si>
  <si>
    <t>OAK-MOR-001547</t>
  </si>
  <si>
    <t>IL-MG896</t>
  </si>
  <si>
    <t>MiddleforkIL</t>
  </si>
  <si>
    <t>OAK-MOR-001548</t>
  </si>
  <si>
    <t>Tricia Bethke</t>
  </si>
  <si>
    <t>BT 134</t>
  </si>
  <si>
    <t>OAK-MOR-001549</t>
  </si>
  <si>
    <t>BT 203</t>
  </si>
  <si>
    <t>SpearfishSD</t>
  </si>
  <si>
    <t>OAK-MOR-001550</t>
  </si>
  <si>
    <t>JCB-SD-SPF-1012</t>
  </si>
  <si>
    <t>OAK-MOR-001551</t>
  </si>
  <si>
    <t>JCB-SD-CSP-1001</t>
  </si>
  <si>
    <t>OAK-MOR-001552</t>
  </si>
  <si>
    <t>Mira Garner &amp; Emma Spence</t>
  </si>
  <si>
    <t>SH-MG105</t>
  </si>
  <si>
    <t>OAK-MOR-001553</t>
  </si>
  <si>
    <t>SH-MG105B</t>
  </si>
  <si>
    <t>OAK-MOR-001555</t>
  </si>
  <si>
    <t>na</t>
  </si>
  <si>
    <t>SH-MG107</t>
  </si>
  <si>
    <t>OAK-MOR-001556</t>
  </si>
  <si>
    <t>SC</t>
  </si>
  <si>
    <t>SH-MG108</t>
  </si>
  <si>
    <t>OAK-MOR-001558</t>
  </si>
  <si>
    <t>SH-MG110</t>
  </si>
  <si>
    <t>OAK-MOR-001564</t>
  </si>
  <si>
    <t>SH-MG116</t>
  </si>
  <si>
    <t>OAK-MOR-001565</t>
  </si>
  <si>
    <t>SH-MG117</t>
  </si>
  <si>
    <t>OAK-MOR-001567</t>
  </si>
  <si>
    <t>SH-MG119</t>
  </si>
  <si>
    <t>OAK-MOR-001568</t>
  </si>
  <si>
    <t>NE</t>
  </si>
  <si>
    <t>SH-MG120</t>
  </si>
  <si>
    <t>OAK-MOR-001569</t>
  </si>
  <si>
    <t>ND</t>
  </si>
  <si>
    <t>SH-MG121</t>
  </si>
  <si>
    <t>OAK-MOR-001570</t>
  </si>
  <si>
    <t>SH-MG122</t>
  </si>
  <si>
    <t>OAK-MOR-001571</t>
  </si>
  <si>
    <t>SH-MG123</t>
  </si>
  <si>
    <t>OAK-MOR-001574</t>
  </si>
  <si>
    <t>TX</t>
  </si>
  <si>
    <t>SH-MG126</t>
  </si>
  <si>
    <t>OAK-MOR-001576</t>
  </si>
  <si>
    <t>SH-MG128</t>
  </si>
  <si>
    <t>OAK-MOR-001578</t>
  </si>
  <si>
    <t>SH-MG130</t>
  </si>
  <si>
    <t>OAK-MOR-001581</t>
  </si>
  <si>
    <t>SH-MG133</t>
  </si>
  <si>
    <t>OAK-MOR-001583</t>
  </si>
  <si>
    <t>SH-MG158</t>
  </si>
  <si>
    <t>OAK-MOR-001584</t>
  </si>
  <si>
    <t>SH-MG159</t>
  </si>
  <si>
    <t>OAK-MOR-001585</t>
  </si>
  <si>
    <t>SH-MG160</t>
  </si>
  <si>
    <t>OAK-MOR-001587</t>
  </si>
  <si>
    <t>SH-MG162</t>
  </si>
  <si>
    <t>OAK-MOR-001588</t>
  </si>
  <si>
    <t>SH-MG163</t>
  </si>
  <si>
    <t>OAK-MOR-001596</t>
  </si>
  <si>
    <t>Ontario</t>
  </si>
  <si>
    <t>SH-MG170</t>
  </si>
  <si>
    <t>OAK-MOR-001597</t>
  </si>
  <si>
    <t>SH-MG171</t>
  </si>
  <si>
    <t>OAK-MOR-001598</t>
  </si>
  <si>
    <t>SH-MG172</t>
  </si>
  <si>
    <t>OAK-MOR-001599</t>
  </si>
  <si>
    <t>SH-MG173</t>
  </si>
  <si>
    <t>OAK-MOR-001604</t>
  </si>
  <si>
    <t>SH-MG178</t>
  </si>
  <si>
    <t>OAK-MOR-001606</t>
  </si>
  <si>
    <t>SH-MG180</t>
  </si>
  <si>
    <t>OAK-MOR-001607</t>
  </si>
  <si>
    <t>SH-MG181</t>
  </si>
  <si>
    <t>OAK-MOR-001610</t>
  </si>
  <si>
    <t>SH-MG184</t>
  </si>
  <si>
    <t>OAK-MOR-001611</t>
  </si>
  <si>
    <t>SH-MG185</t>
  </si>
  <si>
    <t>OAK-MOR-001617</t>
  </si>
  <si>
    <t>SH-MG191</t>
  </si>
  <si>
    <t>OAK-MOR-001620</t>
  </si>
  <si>
    <t>SH-MG194</t>
  </si>
  <si>
    <t>OAK-MOR-001625</t>
  </si>
  <si>
    <t>Saskatchewan</t>
  </si>
  <si>
    <t>SH-MG199</t>
  </si>
  <si>
    <t>OAK-MOR-001626</t>
  </si>
  <si>
    <t>SH-MG200</t>
  </si>
  <si>
    <t>OAK-MOR-001633</t>
  </si>
  <si>
    <t>SH-MG207</t>
  </si>
  <si>
    <t>OAK-MOR-001636</t>
  </si>
  <si>
    <t>SH-MG210</t>
  </si>
  <si>
    <t>OAK-MOR-001639</t>
  </si>
  <si>
    <t>SH-MG213</t>
  </si>
  <si>
    <t>StarhillIL</t>
  </si>
  <si>
    <t>OAK-MOR-001641</t>
  </si>
  <si>
    <t>SH-MG215</t>
  </si>
  <si>
    <t>OAK-MOR-001643</t>
  </si>
  <si>
    <t>SH-MG217</t>
  </si>
  <si>
    <t>OAK-MOR-001644</t>
  </si>
  <si>
    <t>SH-MG218</t>
  </si>
  <si>
    <t>OAK-MOR-001646</t>
  </si>
  <si>
    <t>SH-MG124</t>
  </si>
  <si>
    <t>OAK-MOR-001648|SYST-MOR-6136</t>
  </si>
  <si>
    <t>SH-MG127</t>
  </si>
  <si>
    <t>OAK-MOR-001649|SYST-MOR-6137</t>
  </si>
  <si>
    <t>SH-MG164B</t>
  </si>
  <si>
    <t>OAK-MOR-001650</t>
  </si>
  <si>
    <t>SH-MG167</t>
  </si>
  <si>
    <t>SYST-MOR-006138</t>
  </si>
  <si>
    <t>SH-MG174</t>
  </si>
  <si>
    <t>SYST-MOR-006139</t>
  </si>
  <si>
    <t>SH-MG176</t>
  </si>
  <si>
    <t>state</t>
  </si>
  <si>
    <t>site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</si>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</sst>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1000"/>
  <sheetViews>
    <sheetView tabSelected="1" topLeftCell="B1" workbookViewId="0">
      <selection activeCell="M67" sqref="M67:N67"/>
    </sheetView>
  </sheetViews>
  <sheetFormatPr defaultColWidth="12.6328125" defaultRowHeight="15.75" customHeight="1" x14ac:dyDescent="0.6"/>
  <cols>
    <col min="1" max="1" width="13.54296875" bestFit="1" customWidth="1"/>
    <col min="2" max="2" width="18.7265625" bestFit="1" customWidth="1"/>
    <col min="3" max="3" width="27.90625" bestFit="1" customWidth="1"/>
    <col min="4" max="5" width="7.6796875" bestFit="1" customWidth="1"/>
    <col min="6" max="9" width="8" bestFit="1" customWidth="1"/>
    <col min="10" max="10" width="26.36328125" bestFit="1" customWidth="1"/>
    <col min="11" max="11" width="4.54296875" bestFit="1" customWidth="1"/>
    <col min="12" max="12" width="12.36328125" bestFit="1" customWidth="1"/>
  </cols>
  <sheetData>
    <row r="1" spans="1:14" ht="13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1247</v>
      </c>
      <c r="L1" s="1" t="s">
        <v>1248</v>
      </c>
      <c r="M1" s="1" t="s">
        <v>1249</v>
      </c>
      <c r="N1" s="1" t="s">
        <v>1250</v>
      </c>
    </row>
    <row r="2" spans="1:14" ht="13" hidden="1" x14ac:dyDescent="0.6">
      <c r="A2" s="1" t="s">
        <v>10</v>
      </c>
      <c r="B2" s="1" t="s">
        <v>11</v>
      </c>
      <c r="C2" s="1" t="s">
        <v>11</v>
      </c>
      <c r="D2" s="1">
        <v>0.99850000000000005</v>
      </c>
      <c r="E2" s="1">
        <v>0</v>
      </c>
      <c r="F2" s="1">
        <v>0</v>
      </c>
      <c r="G2" s="1">
        <v>0</v>
      </c>
      <c r="H2" s="1">
        <v>0</v>
      </c>
      <c r="I2" s="1">
        <v>1.5E-3</v>
      </c>
      <c r="J2" s="1" t="s">
        <v>12</v>
      </c>
      <c r="K2" t="str">
        <f>VLOOKUP(A2,metadata!A:I,9,FALSE)</f>
        <v>IL</v>
      </c>
      <c r="L2" t="str">
        <f>VLOOKUP(A2,metadata!A:F,6,FALSE)</f>
        <v>GalesburgIL</v>
      </c>
      <c r="M2">
        <f>VLOOKUP(A2,metadata!A:D,4,FALSE)</f>
        <v>40.990945000000004</v>
      </c>
      <c r="N2">
        <f>VLOOKUP(A2,metadata!A:E,5,FALSE)</f>
        <v>-90.402383999999998</v>
      </c>
    </row>
    <row r="3" spans="1:14" ht="13" hidden="1" x14ac:dyDescent="0.6">
      <c r="A3" s="1" t="s">
        <v>13</v>
      </c>
      <c r="B3" s="1" t="s">
        <v>11</v>
      </c>
      <c r="C3" s="1" t="s">
        <v>11</v>
      </c>
      <c r="D3" s="1">
        <v>0.99831000000000003</v>
      </c>
      <c r="E3" s="1">
        <v>0</v>
      </c>
      <c r="F3" s="1">
        <v>0</v>
      </c>
      <c r="G3" s="1">
        <v>0</v>
      </c>
      <c r="H3" s="2">
        <v>1.0000000000000001E-5</v>
      </c>
      <c r="I3" s="1">
        <v>1.6800000000000001E-3</v>
      </c>
      <c r="J3" s="1" t="s">
        <v>12</v>
      </c>
      <c r="K3" t="str">
        <f>VLOOKUP(A3,metadata!A:I,9,FALSE)</f>
        <v>IL</v>
      </c>
      <c r="L3" t="str">
        <f>VLOOKUP(A3,metadata!A:F,6,FALSE)</f>
        <v>GalesburgIL</v>
      </c>
      <c r="M3">
        <f>VLOOKUP(A3,metadata!A:D,4,FALSE)</f>
        <v>40.990457399999997</v>
      </c>
      <c r="N3">
        <f>VLOOKUP(A3,metadata!A:E,5,FALSE)</f>
        <v>-90.405752000000007</v>
      </c>
    </row>
    <row r="4" spans="1:14" ht="13" hidden="1" x14ac:dyDescent="0.6">
      <c r="A4" s="1" t="s">
        <v>14</v>
      </c>
      <c r="B4" s="1" t="s">
        <v>11</v>
      </c>
      <c r="C4" s="1" t="s">
        <v>11</v>
      </c>
      <c r="D4" s="1">
        <v>0.99678</v>
      </c>
      <c r="E4" s="1">
        <v>0</v>
      </c>
      <c r="F4" s="1">
        <v>0</v>
      </c>
      <c r="G4" s="1">
        <v>0</v>
      </c>
      <c r="H4" s="1">
        <v>0</v>
      </c>
      <c r="I4" s="1">
        <v>3.2200000000000002E-3</v>
      </c>
      <c r="J4" s="1" t="s">
        <v>12</v>
      </c>
      <c r="K4" t="str">
        <f>VLOOKUP(A4,metadata!A:I,9,FALSE)</f>
        <v>IL</v>
      </c>
      <c r="L4" t="str">
        <f>VLOOKUP(A4,metadata!A:F,6,FALSE)</f>
        <v>GalesburgIL</v>
      </c>
      <c r="M4">
        <f>VLOOKUP(A4,metadata!A:D,4,FALSE)</f>
        <v>40.990457399999997</v>
      </c>
      <c r="N4">
        <f>VLOOKUP(A4,metadata!A:E,5,FALSE)</f>
        <v>-90.405752000000007</v>
      </c>
    </row>
    <row r="5" spans="1:14" ht="13" hidden="1" x14ac:dyDescent="0.6">
      <c r="A5" s="1" t="s">
        <v>15</v>
      </c>
      <c r="B5" s="1" t="s">
        <v>11</v>
      </c>
      <c r="C5" s="1" t="s">
        <v>11</v>
      </c>
      <c r="D5" s="1">
        <v>0.99978999999999996</v>
      </c>
      <c r="E5" s="1">
        <v>0</v>
      </c>
      <c r="F5" s="1">
        <v>0</v>
      </c>
      <c r="G5" s="1">
        <v>0</v>
      </c>
      <c r="H5" s="1">
        <v>0</v>
      </c>
      <c r="I5" s="1">
        <v>2.1000000000000001E-4</v>
      </c>
      <c r="J5" s="1" t="s">
        <v>12</v>
      </c>
      <c r="K5" t="str">
        <f>VLOOKUP(A5,metadata!A:I,9,FALSE)</f>
        <v>IL</v>
      </c>
      <c r="L5" t="str">
        <f>VLOOKUP(A5,metadata!A:F,6,FALSE)</f>
        <v>GalesburgIL</v>
      </c>
      <c r="M5">
        <f>VLOOKUP(A5,metadata!A:D,4,FALSE)</f>
        <v>40.990457399999997</v>
      </c>
      <c r="N5">
        <f>VLOOKUP(A5,metadata!A:E,5,FALSE)</f>
        <v>-90.405752000000007</v>
      </c>
    </row>
    <row r="6" spans="1:14" ht="13" hidden="1" x14ac:dyDescent="0.6">
      <c r="A6" s="1" t="s">
        <v>16</v>
      </c>
      <c r="B6" s="1" t="s">
        <v>11</v>
      </c>
      <c r="C6" s="1" t="s">
        <v>11</v>
      </c>
      <c r="D6" s="1">
        <v>0.99521000000000004</v>
      </c>
      <c r="E6" s="1">
        <v>0</v>
      </c>
      <c r="F6" s="1">
        <v>0</v>
      </c>
      <c r="G6" s="1">
        <v>0</v>
      </c>
      <c r="H6" s="1">
        <v>0</v>
      </c>
      <c r="I6" s="1">
        <v>4.7800000000000004E-3</v>
      </c>
      <c r="J6" s="1" t="s">
        <v>12</v>
      </c>
      <c r="K6" t="str">
        <f>VLOOKUP(A6,metadata!A:I,9,FALSE)</f>
        <v>IL</v>
      </c>
      <c r="L6" t="str">
        <f>VLOOKUP(A6,metadata!A:F,6,FALSE)</f>
        <v>GalesburgIL</v>
      </c>
      <c r="M6">
        <f>VLOOKUP(A6,metadata!A:D,4,FALSE)</f>
        <v>40.990553499999997</v>
      </c>
      <c r="N6">
        <f>VLOOKUP(A6,metadata!A:E,5,FALSE)</f>
        <v>-90.399816999999999</v>
      </c>
    </row>
    <row r="7" spans="1:14" ht="13" hidden="1" x14ac:dyDescent="0.6">
      <c r="A7" s="1" t="s">
        <v>17</v>
      </c>
      <c r="B7" s="1" t="s">
        <v>11</v>
      </c>
      <c r="C7" s="1" t="s">
        <v>11</v>
      </c>
      <c r="D7" s="1">
        <v>0.99156</v>
      </c>
      <c r="E7" s="1">
        <v>0</v>
      </c>
      <c r="F7" s="1">
        <v>0</v>
      </c>
      <c r="G7" s="1">
        <v>0</v>
      </c>
      <c r="H7" s="1">
        <v>0</v>
      </c>
      <c r="I7" s="1">
        <v>8.4399999999999996E-3</v>
      </c>
      <c r="J7" s="1" t="s">
        <v>12</v>
      </c>
      <c r="K7" t="str">
        <f>VLOOKUP(A7,metadata!A:I,9,FALSE)</f>
        <v>IL</v>
      </c>
      <c r="L7" t="str">
        <f>VLOOKUP(A7,metadata!A:F,6,FALSE)</f>
        <v>GalesburgIL</v>
      </c>
      <c r="M7">
        <f>VLOOKUP(A7,metadata!A:D,4,FALSE)</f>
        <v>40.989198000000002</v>
      </c>
      <c r="N7">
        <f>VLOOKUP(A7,metadata!A:E,5,FALSE)</f>
        <v>-90.398409000000001</v>
      </c>
    </row>
    <row r="8" spans="1:14" ht="13" hidden="1" x14ac:dyDescent="0.6">
      <c r="A8" s="1" t="s">
        <v>18</v>
      </c>
      <c r="B8" s="1" t="s">
        <v>19</v>
      </c>
      <c r="C8" s="1" t="s">
        <v>20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 t="s">
        <v>4</v>
      </c>
      <c r="K8" t="str">
        <f>VLOOKUP(A8,metadata!A:I,9,FALSE)</f>
        <v>IL</v>
      </c>
      <c r="L8" t="str">
        <f>VLOOKUP(A8,metadata!A:F,6,FALSE)</f>
        <v>GalesburgIL</v>
      </c>
      <c r="M8">
        <f>VLOOKUP(A8,metadata!A:D,4,FALSE)</f>
        <v>40.988717800000003</v>
      </c>
      <c r="N8">
        <f>VLOOKUP(A8,metadata!A:E,5,FALSE)</f>
        <v>-90.398239000000004</v>
      </c>
    </row>
    <row r="9" spans="1:14" ht="13" hidden="1" x14ac:dyDescent="0.6">
      <c r="A9" s="1" t="s">
        <v>21</v>
      </c>
      <c r="B9" s="1" t="s">
        <v>11</v>
      </c>
      <c r="C9" s="1" t="s">
        <v>11</v>
      </c>
      <c r="D9" s="1">
        <v>0.99758000000000002</v>
      </c>
      <c r="E9" s="1">
        <v>0</v>
      </c>
      <c r="F9" s="1">
        <v>0</v>
      </c>
      <c r="G9" s="1">
        <v>0</v>
      </c>
      <c r="H9" s="1">
        <v>0</v>
      </c>
      <c r="I9" s="1">
        <v>2.4199999999999998E-3</v>
      </c>
      <c r="J9" s="1" t="s">
        <v>12</v>
      </c>
      <c r="K9" t="str">
        <f>VLOOKUP(A9,metadata!A:I,9,FALSE)</f>
        <v>IL</v>
      </c>
      <c r="L9" t="str">
        <f>VLOOKUP(A9,metadata!A:F,6,FALSE)</f>
        <v>GalesburgIL</v>
      </c>
      <c r="M9">
        <f>VLOOKUP(A9,metadata!A:D,4,FALSE)</f>
        <v>40.988717800000003</v>
      </c>
      <c r="N9">
        <f>VLOOKUP(A9,metadata!A:E,5,FALSE)</f>
        <v>-90.398239000000004</v>
      </c>
    </row>
    <row r="10" spans="1:14" ht="13" hidden="1" x14ac:dyDescent="0.6">
      <c r="A10" s="1" t="s">
        <v>22</v>
      </c>
      <c r="B10" s="1" t="s">
        <v>11</v>
      </c>
      <c r="C10" s="1" t="s">
        <v>11</v>
      </c>
      <c r="D10" s="1">
        <v>0.99758999999999998</v>
      </c>
      <c r="E10" s="1">
        <v>0</v>
      </c>
      <c r="F10" s="1">
        <v>0</v>
      </c>
      <c r="G10" s="1">
        <v>0</v>
      </c>
      <c r="H10" s="1">
        <v>0</v>
      </c>
      <c r="I10" s="1">
        <v>2.4099999999999998E-3</v>
      </c>
      <c r="J10" s="1" t="s">
        <v>12</v>
      </c>
      <c r="K10" t="str">
        <f>VLOOKUP(A10,metadata!A:I,9,FALSE)</f>
        <v>IL</v>
      </c>
      <c r="L10" t="str">
        <f>VLOOKUP(A10,metadata!A:F,6,FALSE)</f>
        <v>GalesburgIL</v>
      </c>
      <c r="M10">
        <f>VLOOKUP(A10,metadata!A:D,4,FALSE)</f>
        <v>40.988717800000003</v>
      </c>
      <c r="N10">
        <f>VLOOKUP(A10,metadata!A:E,5,FALSE)</f>
        <v>-90.398239000000004</v>
      </c>
    </row>
    <row r="11" spans="1:14" ht="13" hidden="1" x14ac:dyDescent="0.6">
      <c r="A11" s="1" t="s">
        <v>23</v>
      </c>
      <c r="B11" s="1" t="s">
        <v>11</v>
      </c>
      <c r="C11" s="1" t="s">
        <v>11</v>
      </c>
      <c r="D11" s="1">
        <v>0.99414000000000002</v>
      </c>
      <c r="E11" s="1">
        <v>0</v>
      </c>
      <c r="F11" s="1">
        <v>0</v>
      </c>
      <c r="G11" s="1">
        <v>0</v>
      </c>
      <c r="H11" s="1">
        <v>0</v>
      </c>
      <c r="I11" s="1">
        <v>5.8599999999999998E-3</v>
      </c>
      <c r="J11" s="1" t="s">
        <v>12</v>
      </c>
      <c r="K11" t="str">
        <f>VLOOKUP(A11,metadata!A:I,9,FALSE)</f>
        <v>IL</v>
      </c>
      <c r="L11" t="str">
        <f>VLOOKUP(A11,metadata!A:F,6,FALSE)</f>
        <v>GalesburgIL</v>
      </c>
      <c r="M11">
        <f>VLOOKUP(A11,metadata!A:D,4,FALSE)</f>
        <v>40.987491540000001</v>
      </c>
      <c r="N11">
        <f>VLOOKUP(A11,metadata!A:E,5,FALSE)</f>
        <v>-90.393721999999997</v>
      </c>
    </row>
    <row r="12" spans="1:14" ht="13" hidden="1" x14ac:dyDescent="0.6">
      <c r="A12" s="1" t="s">
        <v>24</v>
      </c>
      <c r="B12" s="1" t="s">
        <v>11</v>
      </c>
      <c r="C12" s="1" t="s">
        <v>11</v>
      </c>
      <c r="D12" s="1">
        <v>0.98636999999999997</v>
      </c>
      <c r="E12" s="1">
        <v>0</v>
      </c>
      <c r="F12" s="1">
        <v>0</v>
      </c>
      <c r="G12" s="1">
        <v>0</v>
      </c>
      <c r="H12" s="2">
        <v>3.0000000000000001E-5</v>
      </c>
      <c r="I12" s="1">
        <v>1.3599999999999999E-2</v>
      </c>
      <c r="J12" s="1" t="s">
        <v>12</v>
      </c>
      <c r="K12" t="str">
        <f>VLOOKUP(A12,metadata!A:I,9,FALSE)</f>
        <v>IL</v>
      </c>
      <c r="L12" t="str">
        <f>VLOOKUP(A12,metadata!A:F,6,FALSE)</f>
        <v>GalesburgIL</v>
      </c>
      <c r="M12">
        <f>VLOOKUP(A12,metadata!A:D,4,FALSE)</f>
        <v>40.9878018</v>
      </c>
      <c r="N12">
        <f>VLOOKUP(A12,metadata!A:E,5,FALSE)</f>
        <v>-90.393579000000003</v>
      </c>
    </row>
    <row r="13" spans="1:14" ht="13" hidden="1" x14ac:dyDescent="0.6">
      <c r="A13" s="1" t="s">
        <v>25</v>
      </c>
      <c r="B13" s="1" t="s">
        <v>11</v>
      </c>
      <c r="C13" s="1" t="s">
        <v>11</v>
      </c>
      <c r="D13" s="1">
        <v>0.99624000000000001</v>
      </c>
      <c r="E13" s="1">
        <v>0</v>
      </c>
      <c r="F13" s="1">
        <v>0</v>
      </c>
      <c r="G13" s="1">
        <v>0</v>
      </c>
      <c r="H13" s="2">
        <v>1.0000000000000001E-5</v>
      </c>
      <c r="I13" s="1">
        <v>3.7499999999999999E-3</v>
      </c>
      <c r="J13" s="1" t="s">
        <v>12</v>
      </c>
      <c r="K13" t="str">
        <f>VLOOKUP(A13,metadata!A:I,9,FALSE)</f>
        <v>IL</v>
      </c>
      <c r="L13" t="str">
        <f>VLOOKUP(A13,metadata!A:F,6,FALSE)</f>
        <v>GalesburgIL</v>
      </c>
      <c r="M13">
        <f>VLOOKUP(A13,metadata!A:D,4,FALSE)</f>
        <v>40.987996000000003</v>
      </c>
      <c r="N13">
        <f>VLOOKUP(A13,metadata!A:E,5,FALSE)</f>
        <v>-90.393383999999998</v>
      </c>
    </row>
    <row r="14" spans="1:14" ht="13" hidden="1" x14ac:dyDescent="0.6">
      <c r="A14" s="1" t="s">
        <v>26</v>
      </c>
      <c r="B14" s="1" t="s">
        <v>11</v>
      </c>
      <c r="C14" s="1" t="s">
        <v>11</v>
      </c>
      <c r="D14" s="1">
        <v>0.93871000000000004</v>
      </c>
      <c r="E14" s="1">
        <v>0</v>
      </c>
      <c r="F14" s="1">
        <v>0</v>
      </c>
      <c r="G14" s="1">
        <v>0</v>
      </c>
      <c r="H14" s="1">
        <v>1.3999999999999999E-4</v>
      </c>
      <c r="I14" s="1">
        <v>6.1159999999999999E-2</v>
      </c>
      <c r="J14" s="1" t="s">
        <v>12</v>
      </c>
      <c r="K14" t="str">
        <f>VLOOKUP(A14,metadata!A:I,9,FALSE)</f>
        <v>IL</v>
      </c>
      <c r="L14" t="str">
        <f>VLOOKUP(A14,metadata!A:F,6,FALSE)</f>
        <v>GalesburgIL</v>
      </c>
      <c r="M14">
        <f>VLOOKUP(A14,metadata!A:D,4,FALSE)</f>
        <v>40.988790000000002</v>
      </c>
      <c r="N14">
        <f>VLOOKUP(A14,metadata!A:E,5,FALSE)</f>
        <v>-90.391842999999994</v>
      </c>
    </row>
    <row r="15" spans="1:14" ht="13" hidden="1" x14ac:dyDescent="0.6">
      <c r="A15" s="1" t="s">
        <v>27</v>
      </c>
      <c r="B15" s="1" t="s">
        <v>11</v>
      </c>
      <c r="C15" s="1" t="s">
        <v>11</v>
      </c>
      <c r="D15" s="1">
        <v>0.96723000000000003</v>
      </c>
      <c r="E15" s="1">
        <v>0</v>
      </c>
      <c r="F15" s="1">
        <v>0</v>
      </c>
      <c r="G15" s="1">
        <v>0</v>
      </c>
      <c r="H15" s="2">
        <v>1.0000000000000001E-5</v>
      </c>
      <c r="I15" s="1">
        <v>3.2759999999999997E-2</v>
      </c>
      <c r="J15" s="1" t="s">
        <v>12</v>
      </c>
      <c r="K15" t="str">
        <f>VLOOKUP(A15,metadata!A:I,9,FALSE)</f>
        <v>IL</v>
      </c>
      <c r="L15" t="str">
        <f>VLOOKUP(A15,metadata!A:F,6,FALSE)</f>
        <v>GalesburgIL</v>
      </c>
      <c r="M15">
        <f>VLOOKUP(A15,metadata!A:D,4,FALSE)</f>
        <v>40.989898400000001</v>
      </c>
      <c r="N15">
        <f>VLOOKUP(A15,metadata!A:E,5,FALSE)</f>
        <v>-90.384676999999996</v>
      </c>
    </row>
    <row r="16" spans="1:14" ht="13" hidden="1" x14ac:dyDescent="0.6">
      <c r="A16" s="1" t="s">
        <v>28</v>
      </c>
      <c r="B16" s="1" t="s">
        <v>29</v>
      </c>
      <c r="C16" s="1" t="s">
        <v>29</v>
      </c>
      <c r="D16" s="1">
        <v>0.99870000000000003</v>
      </c>
      <c r="E16" s="1">
        <v>0</v>
      </c>
      <c r="F16" s="1">
        <v>0</v>
      </c>
      <c r="G16" s="1">
        <v>0</v>
      </c>
      <c r="H16" s="2">
        <v>3.0000000000000001E-5</v>
      </c>
      <c r="I16" s="1">
        <v>1.2600000000000001E-3</v>
      </c>
      <c r="J16" s="1" t="s">
        <v>12</v>
      </c>
      <c r="K16" t="str">
        <f>VLOOKUP(A16,metadata!A:I,9,FALSE)</f>
        <v>IL</v>
      </c>
      <c r="L16" t="str">
        <f>VLOOKUP(A16,metadata!A:F,6,FALSE)</f>
        <v>AuroraIL</v>
      </c>
      <c r="M16">
        <f>VLOOKUP(A16,metadata!A:D,4,FALSE)</f>
        <v>41.787137799999996</v>
      </c>
      <c r="N16">
        <f>VLOOKUP(A16,metadata!A:E,5,FALSE)</f>
        <v>-88.272994999999995</v>
      </c>
    </row>
    <row r="17" spans="1:14" ht="13" hidden="1" x14ac:dyDescent="0.6">
      <c r="A17" s="1" t="s">
        <v>30</v>
      </c>
      <c r="B17" s="1" t="s">
        <v>29</v>
      </c>
      <c r="C17" s="1" t="s">
        <v>29</v>
      </c>
      <c r="D17" s="1">
        <v>0.99985000000000002</v>
      </c>
      <c r="E17" s="1">
        <v>0</v>
      </c>
      <c r="F17" s="1">
        <v>0</v>
      </c>
      <c r="G17" s="1">
        <v>0</v>
      </c>
      <c r="H17" s="1">
        <v>0</v>
      </c>
      <c r="I17" s="1">
        <v>1.4999999999999999E-4</v>
      </c>
      <c r="J17" s="1" t="s">
        <v>12</v>
      </c>
      <c r="K17" t="str">
        <f>VLOOKUP(A17,metadata!A:I,9,FALSE)</f>
        <v>IL</v>
      </c>
      <c r="L17" t="str">
        <f>VLOOKUP(A17,metadata!A:F,6,FALSE)</f>
        <v>AuroraIL</v>
      </c>
      <c r="M17">
        <f>VLOOKUP(A17,metadata!A:D,4,FALSE)</f>
        <v>41.787137799999996</v>
      </c>
      <c r="N17">
        <f>VLOOKUP(A17,metadata!A:E,5,FALSE)</f>
        <v>-88.272994999999995</v>
      </c>
    </row>
    <row r="18" spans="1:14" ht="13" hidden="1" x14ac:dyDescent="0.6">
      <c r="A18" s="1" t="s">
        <v>31</v>
      </c>
      <c r="B18" s="1" t="s">
        <v>29</v>
      </c>
      <c r="C18" s="1" t="s">
        <v>29</v>
      </c>
      <c r="D18" s="1">
        <v>0.99275000000000002</v>
      </c>
      <c r="E18" s="1">
        <v>0</v>
      </c>
      <c r="F18" s="1">
        <v>0</v>
      </c>
      <c r="G18" s="1">
        <v>0</v>
      </c>
      <c r="H18" s="1">
        <v>2.9E-4</v>
      </c>
      <c r="I18" s="1">
        <v>6.96E-3</v>
      </c>
      <c r="J18" s="1" t="s">
        <v>12</v>
      </c>
      <c r="K18" t="str">
        <f>VLOOKUP(A18,metadata!A:I,9,FALSE)</f>
        <v>IL</v>
      </c>
      <c r="L18" t="str">
        <f>VLOOKUP(A18,metadata!A:F,6,FALSE)</f>
        <v>AuroraIL</v>
      </c>
      <c r="M18">
        <f>VLOOKUP(A18,metadata!A:D,4,FALSE)</f>
        <v>41.787303700000002</v>
      </c>
      <c r="N18">
        <f>VLOOKUP(A18,metadata!A:E,5,FALSE)</f>
        <v>-88.273140999999995</v>
      </c>
    </row>
    <row r="19" spans="1:14" ht="13" hidden="1" x14ac:dyDescent="0.6">
      <c r="A19" s="1" t="s">
        <v>32</v>
      </c>
      <c r="B19" s="1" t="s">
        <v>29</v>
      </c>
      <c r="C19" s="1" t="s">
        <v>29</v>
      </c>
      <c r="D19" s="1">
        <v>0.99963000000000002</v>
      </c>
      <c r="E19" s="1">
        <v>0</v>
      </c>
      <c r="F19" s="1">
        <v>0</v>
      </c>
      <c r="G19" s="1">
        <v>0</v>
      </c>
      <c r="H19" s="1">
        <v>0</v>
      </c>
      <c r="I19" s="1">
        <v>3.6999999999999999E-4</v>
      </c>
      <c r="J19" s="1" t="s">
        <v>12</v>
      </c>
      <c r="K19" t="str">
        <f>VLOOKUP(A19,metadata!A:I,9,FALSE)</f>
        <v>IL</v>
      </c>
      <c r="L19" t="str">
        <f>VLOOKUP(A19,metadata!A:F,6,FALSE)</f>
        <v>AuroraIL</v>
      </c>
      <c r="M19">
        <f>VLOOKUP(A19,metadata!A:D,4,FALSE)</f>
        <v>41.787303700000002</v>
      </c>
      <c r="N19">
        <f>VLOOKUP(A19,metadata!A:E,5,FALSE)</f>
        <v>-88.273044999999996</v>
      </c>
    </row>
    <row r="20" spans="1:14" ht="13" hidden="1" x14ac:dyDescent="0.6">
      <c r="A20" s="1" t="s">
        <v>33</v>
      </c>
      <c r="B20" s="1" t="s">
        <v>29</v>
      </c>
      <c r="C20" s="1" t="s">
        <v>29</v>
      </c>
      <c r="D20" s="1">
        <v>0.99611000000000005</v>
      </c>
      <c r="E20" s="1">
        <v>0</v>
      </c>
      <c r="F20" s="1">
        <v>0</v>
      </c>
      <c r="G20" s="1">
        <v>0</v>
      </c>
      <c r="H20" s="2">
        <v>2.0000000000000002E-5</v>
      </c>
      <c r="I20" s="1">
        <v>3.8600000000000001E-3</v>
      </c>
      <c r="J20" s="1" t="s">
        <v>12</v>
      </c>
      <c r="K20" t="str">
        <f>VLOOKUP(A20,metadata!A:I,9,FALSE)</f>
        <v>IL</v>
      </c>
      <c r="L20" t="str">
        <f>VLOOKUP(A20,metadata!A:F,6,FALSE)</f>
        <v>AuroraIL</v>
      </c>
      <c r="M20">
        <f>VLOOKUP(A20,metadata!A:D,4,FALSE)</f>
        <v>41.789593400000001</v>
      </c>
      <c r="N20">
        <f>VLOOKUP(A20,metadata!A:E,5,FALSE)</f>
        <v>-88.272205999999997</v>
      </c>
    </row>
    <row r="21" spans="1:14" ht="13" hidden="1" x14ac:dyDescent="0.6">
      <c r="A21" s="1" t="s">
        <v>34</v>
      </c>
      <c r="B21" s="1" t="s">
        <v>29</v>
      </c>
      <c r="C21" s="1" t="s">
        <v>29</v>
      </c>
      <c r="D21" s="1">
        <v>0.99970999999999999</v>
      </c>
      <c r="E21" s="1">
        <v>0</v>
      </c>
      <c r="F21" s="1">
        <v>0</v>
      </c>
      <c r="G21" s="1">
        <v>0</v>
      </c>
      <c r="H21" s="1">
        <v>0</v>
      </c>
      <c r="I21" s="1">
        <v>2.9E-4</v>
      </c>
      <c r="J21" s="1" t="s">
        <v>12</v>
      </c>
      <c r="K21" t="str">
        <f>VLOOKUP(A21,metadata!A:I,9,FALSE)</f>
        <v>WI</v>
      </c>
      <c r="L21" t="str">
        <f>VLOOKUP(A21,metadata!A:F,6,FALSE)</f>
        <v>GothamWI</v>
      </c>
      <c r="M21">
        <f>VLOOKUP(A21,metadata!A:D,4,FALSE)</f>
        <v>43.219807000000003</v>
      </c>
      <c r="N21">
        <f>VLOOKUP(A21,metadata!A:E,5,FALSE)</f>
        <v>-90.305408</v>
      </c>
    </row>
    <row r="22" spans="1:14" ht="13" hidden="1" x14ac:dyDescent="0.6">
      <c r="A22" s="1" t="s">
        <v>35</v>
      </c>
      <c r="B22" s="1" t="s">
        <v>29</v>
      </c>
      <c r="C22" s="1" t="s">
        <v>29</v>
      </c>
      <c r="D22" s="1">
        <v>0.99448000000000003</v>
      </c>
      <c r="E22" s="1">
        <v>0</v>
      </c>
      <c r="F22" s="1">
        <v>0</v>
      </c>
      <c r="G22" s="1">
        <v>0</v>
      </c>
      <c r="H22" s="2">
        <v>6.0000000000000002E-5</v>
      </c>
      <c r="I22" s="1">
        <v>5.4599999999999996E-3</v>
      </c>
      <c r="J22" s="1" t="s">
        <v>12</v>
      </c>
      <c r="K22" t="str">
        <f>VLOOKUP(A22,metadata!A:I,9,FALSE)</f>
        <v>WI</v>
      </c>
      <c r="L22" t="str">
        <f>VLOOKUP(A22,metadata!A:F,6,FALSE)</f>
        <v>GothamWI</v>
      </c>
      <c r="M22">
        <f>VLOOKUP(A22,metadata!A:D,4,FALSE)</f>
        <v>43.215161999999999</v>
      </c>
      <c r="N22">
        <f>VLOOKUP(A22,metadata!A:E,5,FALSE)</f>
        <v>-90.304929000000001</v>
      </c>
    </row>
    <row r="23" spans="1:14" ht="13" hidden="1" x14ac:dyDescent="0.6">
      <c r="A23" s="1" t="s">
        <v>36</v>
      </c>
      <c r="B23" s="1" t="s">
        <v>11</v>
      </c>
      <c r="C23" s="1" t="s">
        <v>11</v>
      </c>
      <c r="D23" s="1">
        <v>0.99702999999999997</v>
      </c>
      <c r="E23" s="1">
        <v>0</v>
      </c>
      <c r="F23" s="1">
        <v>0</v>
      </c>
      <c r="G23" s="1">
        <v>0</v>
      </c>
      <c r="H23" s="1">
        <v>0</v>
      </c>
      <c r="I23" s="1">
        <v>2.97E-3</v>
      </c>
      <c r="J23" s="1" t="s">
        <v>12</v>
      </c>
      <c r="K23" t="str">
        <f>VLOOKUP(A23,metadata!A:I,9,FALSE)</f>
        <v>WI</v>
      </c>
      <c r="L23" t="str">
        <f>VLOOKUP(A23,metadata!A:F,6,FALSE)</f>
        <v>GothamWI</v>
      </c>
      <c r="M23">
        <f>VLOOKUP(A23,metadata!A:D,4,FALSE)</f>
        <v>43.241424000000002</v>
      </c>
      <c r="N23">
        <f>VLOOKUP(A23,metadata!A:E,5,FALSE)</f>
        <v>-90.302267999999998</v>
      </c>
    </row>
    <row r="24" spans="1:14" ht="13" hidden="1" x14ac:dyDescent="0.6">
      <c r="A24" s="1" t="s">
        <v>37</v>
      </c>
      <c r="B24" s="1" t="s">
        <v>11</v>
      </c>
      <c r="C24" s="1" t="s">
        <v>11</v>
      </c>
      <c r="D24" s="1">
        <v>0.99899000000000004</v>
      </c>
      <c r="E24" s="1">
        <v>0</v>
      </c>
      <c r="F24" s="1">
        <v>0</v>
      </c>
      <c r="G24" s="1">
        <v>0</v>
      </c>
      <c r="H24" s="1">
        <v>0</v>
      </c>
      <c r="I24" s="1">
        <v>1.01E-3</v>
      </c>
      <c r="J24" s="1" t="s">
        <v>12</v>
      </c>
      <c r="K24" t="str">
        <f>VLOOKUP(A24,metadata!A:I,9,FALSE)</f>
        <v>WI</v>
      </c>
      <c r="L24" t="str">
        <f>VLOOKUP(A24,metadata!A:F,6,FALSE)</f>
        <v>GothamWI</v>
      </c>
      <c r="M24">
        <f>VLOOKUP(A24,metadata!A:D,4,FALSE)</f>
        <v>43.241424000000002</v>
      </c>
      <c r="N24">
        <f>VLOOKUP(A24,metadata!A:E,5,FALSE)</f>
        <v>-90.302267999999998</v>
      </c>
    </row>
    <row r="25" spans="1:14" ht="13" hidden="1" x14ac:dyDescent="0.6">
      <c r="A25" s="1" t="s">
        <v>38</v>
      </c>
      <c r="B25" s="1" t="s">
        <v>11</v>
      </c>
      <c r="C25" s="1" t="s">
        <v>11</v>
      </c>
      <c r="D25" s="1">
        <v>0.99944999999999995</v>
      </c>
      <c r="E25" s="1">
        <v>0</v>
      </c>
      <c r="F25" s="1">
        <v>0</v>
      </c>
      <c r="G25" s="1">
        <v>0</v>
      </c>
      <c r="H25" s="1">
        <v>0</v>
      </c>
      <c r="I25" s="1">
        <v>5.5000000000000003E-4</v>
      </c>
      <c r="J25" s="1" t="s">
        <v>12</v>
      </c>
      <c r="K25" t="str">
        <f>VLOOKUP(A25,metadata!A:I,9,FALSE)</f>
        <v>WI</v>
      </c>
      <c r="L25" t="str">
        <f>VLOOKUP(A25,metadata!A:F,6,FALSE)</f>
        <v>GothamWI</v>
      </c>
      <c r="M25">
        <f>VLOOKUP(A25,metadata!A:D,4,FALSE)</f>
        <v>43.264792999999997</v>
      </c>
      <c r="N25">
        <f>VLOOKUP(A25,metadata!A:E,5,FALSE)</f>
        <v>-90.303890999999993</v>
      </c>
    </row>
    <row r="26" spans="1:14" ht="13" hidden="1" x14ac:dyDescent="0.6">
      <c r="A26" s="1" t="s">
        <v>39</v>
      </c>
      <c r="B26" s="1" t="s">
        <v>29</v>
      </c>
      <c r="C26" s="1" t="s">
        <v>29</v>
      </c>
      <c r="D26" s="1">
        <v>0.99378999999999995</v>
      </c>
      <c r="E26" s="1">
        <v>0</v>
      </c>
      <c r="F26" s="1">
        <v>0</v>
      </c>
      <c r="G26" s="1">
        <v>0</v>
      </c>
      <c r="H26" s="2">
        <v>3.0000000000000001E-5</v>
      </c>
      <c r="I26" s="1">
        <v>6.1900000000000002E-3</v>
      </c>
      <c r="J26" s="1" t="s">
        <v>12</v>
      </c>
      <c r="K26" t="str">
        <f>VLOOKUP(A26,metadata!A:I,9,FALSE)</f>
        <v>WI</v>
      </c>
      <c r="L26" t="str">
        <f>VLOOKUP(A26,metadata!A:F,6,FALSE)</f>
        <v>GothamWI</v>
      </c>
      <c r="M26">
        <f>VLOOKUP(A26,metadata!A:D,4,FALSE)</f>
        <v>43.240287000000002</v>
      </c>
      <c r="N26">
        <f>VLOOKUP(A26,metadata!A:E,5,FALSE)</f>
        <v>-90.302313999999996</v>
      </c>
    </row>
    <row r="27" spans="1:14" ht="13" hidden="1" x14ac:dyDescent="0.6">
      <c r="A27" s="1" t="s">
        <v>40</v>
      </c>
      <c r="B27" s="1" t="s">
        <v>29</v>
      </c>
      <c r="C27" s="1" t="s">
        <v>29</v>
      </c>
      <c r="D27" s="1">
        <v>0.99819000000000002</v>
      </c>
      <c r="E27" s="1">
        <v>0</v>
      </c>
      <c r="F27" s="1">
        <v>0</v>
      </c>
      <c r="G27" s="1">
        <v>0</v>
      </c>
      <c r="H27" s="1">
        <v>0</v>
      </c>
      <c r="I27" s="1">
        <v>1.81E-3</v>
      </c>
      <c r="J27" s="1" t="s">
        <v>12</v>
      </c>
      <c r="K27" t="str">
        <f>VLOOKUP(A27,metadata!A:I,9,FALSE)</f>
        <v>WI</v>
      </c>
      <c r="L27" t="str">
        <f>VLOOKUP(A27,metadata!A:F,6,FALSE)</f>
        <v>GothamWI</v>
      </c>
      <c r="M27">
        <f>VLOOKUP(A27,metadata!A:D,4,FALSE)</f>
        <v>43.264792999999997</v>
      </c>
      <c r="N27">
        <f>VLOOKUP(A27,metadata!A:E,5,FALSE)</f>
        <v>-90.303890999999993</v>
      </c>
    </row>
    <row r="28" spans="1:14" ht="13" hidden="1" x14ac:dyDescent="0.6">
      <c r="A28" s="1" t="s">
        <v>41</v>
      </c>
      <c r="B28" s="1" t="s">
        <v>29</v>
      </c>
      <c r="C28" s="1" t="s">
        <v>29</v>
      </c>
      <c r="D28" s="1">
        <v>0.97223999999999999</v>
      </c>
      <c r="E28" s="1">
        <v>0</v>
      </c>
      <c r="F28" s="1">
        <v>0</v>
      </c>
      <c r="G28" s="1">
        <v>0</v>
      </c>
      <c r="H28" s="1">
        <v>1.1E-4</v>
      </c>
      <c r="I28" s="1">
        <v>2.7650000000000001E-2</v>
      </c>
      <c r="J28" s="1" t="s">
        <v>12</v>
      </c>
      <c r="K28" t="str">
        <f>VLOOKUP(A28,metadata!A:I,9,FALSE)</f>
        <v>WI</v>
      </c>
      <c r="L28" t="str">
        <f>VLOOKUP(A28,metadata!A:F,6,FALSE)</f>
        <v>GothamWI</v>
      </c>
      <c r="M28">
        <f>VLOOKUP(A28,metadata!A:D,4,FALSE)</f>
        <v>43.264792999999997</v>
      </c>
      <c r="N28">
        <f>VLOOKUP(A28,metadata!A:E,5,FALSE)</f>
        <v>-90.303890999999993</v>
      </c>
    </row>
    <row r="29" spans="1:14" ht="13" hidden="1" x14ac:dyDescent="0.6">
      <c r="A29" s="1" t="s">
        <v>42</v>
      </c>
      <c r="B29" s="1" t="s">
        <v>43</v>
      </c>
      <c r="C29" s="1" t="s">
        <v>43</v>
      </c>
      <c r="D29" s="1">
        <v>0.99980999999999998</v>
      </c>
      <c r="E29" s="1">
        <v>0</v>
      </c>
      <c r="F29" s="1">
        <v>0</v>
      </c>
      <c r="G29" s="1">
        <v>0</v>
      </c>
      <c r="H29" s="1">
        <v>0</v>
      </c>
      <c r="I29" s="1">
        <v>1.9000000000000001E-4</v>
      </c>
      <c r="J29" s="1" t="s">
        <v>12</v>
      </c>
      <c r="K29" t="str">
        <f>VLOOKUP(A29,metadata!A:I,9,FALSE)</f>
        <v>NA</v>
      </c>
      <c r="L29" t="str">
        <f>VLOOKUP(A29,metadata!A:F,6,FALSE)</f>
        <v>BienvilleMS</v>
      </c>
      <c r="M29">
        <f>VLOOKUP(A29,metadata!A:D,4,FALSE)</f>
        <v>32.358242099999998</v>
      </c>
      <c r="N29">
        <f>VLOOKUP(A29,metadata!A:E,5,FALSE)</f>
        <v>-89.547184999999999</v>
      </c>
    </row>
    <row r="30" spans="1:14" ht="13" hidden="1" x14ac:dyDescent="0.6">
      <c r="A30" s="1" t="s">
        <v>44</v>
      </c>
      <c r="B30" s="1" t="s">
        <v>43</v>
      </c>
      <c r="C30" s="1" t="s">
        <v>43</v>
      </c>
      <c r="D30" s="1">
        <v>0.99731000000000003</v>
      </c>
      <c r="E30" s="1">
        <v>0</v>
      </c>
      <c r="F30" s="1">
        <v>0</v>
      </c>
      <c r="G30" s="1">
        <v>0</v>
      </c>
      <c r="H30" s="2">
        <v>2.0000000000000002E-5</v>
      </c>
      <c r="I30" s="1">
        <v>2.6700000000000001E-3</v>
      </c>
      <c r="J30" s="1" t="s">
        <v>12</v>
      </c>
      <c r="K30" t="str">
        <f>VLOOKUP(A30,metadata!A:I,9,FALSE)</f>
        <v>NA</v>
      </c>
      <c r="L30" t="str">
        <f>VLOOKUP(A30,metadata!A:F,6,FALSE)</f>
        <v>BienvilleMS</v>
      </c>
      <c r="M30">
        <f>VLOOKUP(A30,metadata!A:D,4,FALSE)</f>
        <v>32.358242099999998</v>
      </c>
      <c r="N30">
        <f>VLOOKUP(A30,metadata!A:E,5,FALSE)</f>
        <v>-89.547184999999999</v>
      </c>
    </row>
    <row r="31" spans="1:14" ht="13" hidden="1" x14ac:dyDescent="0.6">
      <c r="A31" s="1" t="s">
        <v>45</v>
      </c>
      <c r="B31" s="1" t="s">
        <v>43</v>
      </c>
      <c r="C31" s="1" t="s">
        <v>43</v>
      </c>
      <c r="D31" s="1">
        <v>0.99987000000000004</v>
      </c>
      <c r="E31" s="1">
        <v>0</v>
      </c>
      <c r="F31" s="1">
        <v>0</v>
      </c>
      <c r="G31" s="1">
        <v>0</v>
      </c>
      <c r="H31" s="1">
        <v>0</v>
      </c>
      <c r="I31" s="1">
        <v>1.2999999999999999E-4</v>
      </c>
      <c r="J31" s="1" t="s">
        <v>12</v>
      </c>
      <c r="K31" t="str">
        <f>VLOOKUP(A31,metadata!A:I,9,FALSE)</f>
        <v>NA</v>
      </c>
      <c r="L31" t="str">
        <f>VLOOKUP(A31,metadata!A:F,6,FALSE)</f>
        <v>BienvilleMS</v>
      </c>
      <c r="M31">
        <f>VLOOKUP(A31,metadata!A:D,4,FALSE)</f>
        <v>32.358242099999998</v>
      </c>
      <c r="N31">
        <f>VLOOKUP(A31,metadata!A:E,5,FALSE)</f>
        <v>-89.547184999999999</v>
      </c>
    </row>
    <row r="32" spans="1:14" ht="13" hidden="1" x14ac:dyDescent="0.6">
      <c r="A32" s="1" t="s">
        <v>46</v>
      </c>
      <c r="B32" s="1" t="s">
        <v>43</v>
      </c>
      <c r="C32" s="1" t="s">
        <v>43</v>
      </c>
      <c r="D32" s="1">
        <v>0.99973999999999996</v>
      </c>
      <c r="E32" s="1">
        <v>0</v>
      </c>
      <c r="F32" s="1">
        <v>0</v>
      </c>
      <c r="G32" s="1">
        <v>0</v>
      </c>
      <c r="H32" s="1">
        <v>0</v>
      </c>
      <c r="I32" s="1">
        <v>2.5999999999999998E-4</v>
      </c>
      <c r="J32" s="1" t="s">
        <v>12</v>
      </c>
      <c r="K32" t="str">
        <f>VLOOKUP(A32,metadata!A:I,9,FALSE)</f>
        <v>NA</v>
      </c>
      <c r="L32" t="str">
        <f>VLOOKUP(A32,metadata!A:F,6,FALSE)</f>
        <v>BienvilleMS</v>
      </c>
      <c r="M32">
        <f>VLOOKUP(A32,metadata!A:D,4,FALSE)</f>
        <v>32.358242099999998</v>
      </c>
      <c r="N32">
        <f>VLOOKUP(A32,metadata!A:E,5,FALSE)</f>
        <v>-89.547184999999999</v>
      </c>
    </row>
    <row r="33" spans="1:14" ht="13" hidden="1" x14ac:dyDescent="0.6">
      <c r="A33" s="1" t="s">
        <v>47</v>
      </c>
      <c r="B33" s="1" t="s">
        <v>43</v>
      </c>
      <c r="C33" s="1" t="s">
        <v>43</v>
      </c>
      <c r="D33" s="1">
        <v>0.99878</v>
      </c>
      <c r="E33" s="1">
        <v>0</v>
      </c>
      <c r="F33" s="1">
        <v>0</v>
      </c>
      <c r="G33" s="1">
        <v>0</v>
      </c>
      <c r="H33" s="2">
        <v>1.0000000000000001E-5</v>
      </c>
      <c r="I33" s="1">
        <v>1.2099999999999999E-3</v>
      </c>
      <c r="J33" s="1" t="s">
        <v>12</v>
      </c>
      <c r="K33" t="str">
        <f>VLOOKUP(A33,metadata!A:I,9,FALSE)</f>
        <v>NA</v>
      </c>
      <c r="L33" t="str">
        <f>VLOOKUP(A33,metadata!A:F,6,FALSE)</f>
        <v>BienvilleMS</v>
      </c>
      <c r="M33">
        <f>VLOOKUP(A33,metadata!A:D,4,FALSE)</f>
        <v>32.358242099999998</v>
      </c>
      <c r="N33">
        <f>VLOOKUP(A33,metadata!A:E,5,FALSE)</f>
        <v>-89.547184999999999</v>
      </c>
    </row>
    <row r="34" spans="1:14" ht="13" hidden="1" x14ac:dyDescent="0.6">
      <c r="A34" s="1" t="s">
        <v>48</v>
      </c>
      <c r="B34" s="1" t="s">
        <v>43</v>
      </c>
      <c r="C34" s="1" t="s">
        <v>43</v>
      </c>
      <c r="D34" s="1">
        <v>0.99992000000000003</v>
      </c>
      <c r="E34" s="1">
        <v>0</v>
      </c>
      <c r="F34" s="1">
        <v>0</v>
      </c>
      <c r="G34" s="1">
        <v>0</v>
      </c>
      <c r="H34" s="1">
        <v>0</v>
      </c>
      <c r="I34" s="2">
        <v>8.0000000000000007E-5</v>
      </c>
      <c r="J34" s="1" t="s">
        <v>12</v>
      </c>
      <c r="K34" t="str">
        <f>VLOOKUP(A34,metadata!A:I,9,FALSE)</f>
        <v>NA</v>
      </c>
      <c r="L34" t="str">
        <f>VLOOKUP(A34,metadata!A:F,6,FALSE)</f>
        <v>BienvilleMS</v>
      </c>
      <c r="M34">
        <f>VLOOKUP(A34,metadata!A:D,4,FALSE)</f>
        <v>32.358242099999998</v>
      </c>
      <c r="N34">
        <f>VLOOKUP(A34,metadata!A:E,5,FALSE)</f>
        <v>-89.547184999999999</v>
      </c>
    </row>
    <row r="35" spans="1:14" ht="13" hidden="1" x14ac:dyDescent="0.6">
      <c r="A35" s="1" t="s">
        <v>49</v>
      </c>
      <c r="B35" s="1" t="s">
        <v>43</v>
      </c>
      <c r="C35" s="1" t="s">
        <v>43</v>
      </c>
      <c r="D35" s="1">
        <v>0.99953999999999998</v>
      </c>
      <c r="E35" s="1">
        <v>0</v>
      </c>
      <c r="F35" s="1">
        <v>0</v>
      </c>
      <c r="G35" s="1">
        <v>0</v>
      </c>
      <c r="H35" s="1">
        <v>0</v>
      </c>
      <c r="I35" s="1">
        <v>4.6000000000000001E-4</v>
      </c>
      <c r="J35" s="1" t="s">
        <v>12</v>
      </c>
      <c r="K35" t="str">
        <f>VLOOKUP(A35,metadata!A:I,9,FALSE)</f>
        <v>NA</v>
      </c>
      <c r="L35" t="str">
        <f>VLOOKUP(A35,metadata!A:F,6,FALSE)</f>
        <v>BienvilleMS</v>
      </c>
      <c r="M35">
        <f>VLOOKUP(A35,metadata!A:D,4,FALSE)</f>
        <v>32.358242099999998</v>
      </c>
      <c r="N35">
        <f>VLOOKUP(A35,metadata!A:E,5,FALSE)</f>
        <v>-89.547184999999999</v>
      </c>
    </row>
    <row r="36" spans="1:14" ht="13" hidden="1" x14ac:dyDescent="0.6">
      <c r="A36" s="1" t="s">
        <v>50</v>
      </c>
      <c r="B36" s="1" t="s">
        <v>43</v>
      </c>
      <c r="C36" s="1" t="s">
        <v>43</v>
      </c>
      <c r="D36" s="1">
        <v>0.99965000000000004</v>
      </c>
      <c r="E36" s="1">
        <v>0</v>
      </c>
      <c r="F36" s="1">
        <v>0</v>
      </c>
      <c r="G36" s="1">
        <v>0</v>
      </c>
      <c r="H36" s="1">
        <v>0</v>
      </c>
      <c r="I36" s="1">
        <v>3.5E-4</v>
      </c>
      <c r="J36" s="1" t="s">
        <v>12</v>
      </c>
      <c r="K36" t="str">
        <f>VLOOKUP(A36,metadata!A:I,9,FALSE)</f>
        <v>NA</v>
      </c>
      <c r="L36" t="str">
        <f>VLOOKUP(A36,metadata!A:F,6,FALSE)</f>
        <v>BienvilleMS</v>
      </c>
      <c r="M36">
        <f>VLOOKUP(A36,metadata!A:D,4,FALSE)</f>
        <v>32.358242099999998</v>
      </c>
      <c r="N36">
        <f>VLOOKUP(A36,metadata!A:E,5,FALSE)</f>
        <v>-89.547184999999999</v>
      </c>
    </row>
    <row r="37" spans="1:14" ht="13" hidden="1" x14ac:dyDescent="0.6">
      <c r="A37" s="1" t="s">
        <v>51</v>
      </c>
      <c r="B37" s="1" t="s">
        <v>43</v>
      </c>
      <c r="C37" s="1" t="s">
        <v>43</v>
      </c>
      <c r="D37" s="1">
        <v>0.99782999999999999</v>
      </c>
      <c r="E37" s="1">
        <v>0</v>
      </c>
      <c r="F37" s="1">
        <v>0</v>
      </c>
      <c r="G37" s="1">
        <v>0</v>
      </c>
      <c r="H37" s="1">
        <v>0</v>
      </c>
      <c r="I37" s="1">
        <v>2.1700000000000001E-3</v>
      </c>
      <c r="J37" s="1" t="s">
        <v>12</v>
      </c>
      <c r="K37" t="str">
        <f>VLOOKUP(A37,metadata!A:I,9,FALSE)</f>
        <v>NA</v>
      </c>
      <c r="L37" t="str">
        <f>VLOOKUP(A37,metadata!A:F,6,FALSE)</f>
        <v>BuescherTX</v>
      </c>
      <c r="M37">
        <f>VLOOKUP(A37,metadata!A:D,4,FALSE)</f>
        <v>30.076388999999999</v>
      </c>
      <c r="N37">
        <f>VLOOKUP(A37,metadata!A:E,5,FALSE)</f>
        <v>-97.181667000000004</v>
      </c>
    </row>
    <row r="38" spans="1:14" ht="13" hidden="1" x14ac:dyDescent="0.6">
      <c r="A38" s="1" t="s">
        <v>52</v>
      </c>
      <c r="B38" s="1" t="s">
        <v>43</v>
      </c>
      <c r="C38" s="1" t="s">
        <v>43</v>
      </c>
      <c r="D38" s="1">
        <v>0.99995999999999996</v>
      </c>
      <c r="E38" s="1">
        <v>0</v>
      </c>
      <c r="F38" s="1">
        <v>0</v>
      </c>
      <c r="G38" s="1">
        <v>0</v>
      </c>
      <c r="H38" s="1">
        <v>0</v>
      </c>
      <c r="I38" s="2">
        <v>4.0000000000000003E-5</v>
      </c>
      <c r="J38" s="1" t="s">
        <v>12</v>
      </c>
      <c r="K38" t="str">
        <f>VLOOKUP(A38,metadata!A:I,9,FALSE)</f>
        <v>NA</v>
      </c>
      <c r="L38" t="str">
        <f>VLOOKUP(A38,metadata!A:F,6,FALSE)</f>
        <v>BuescherTX</v>
      </c>
      <c r="M38">
        <f>VLOOKUP(A38,metadata!A:D,4,FALSE)</f>
        <v>30.076388999999999</v>
      </c>
      <c r="N38">
        <f>VLOOKUP(A38,metadata!A:E,5,FALSE)</f>
        <v>-97.181667000000004</v>
      </c>
    </row>
    <row r="39" spans="1:14" ht="13" hidden="1" x14ac:dyDescent="0.6">
      <c r="A39" s="1" t="s">
        <v>53</v>
      </c>
      <c r="B39" s="1" t="s">
        <v>54</v>
      </c>
      <c r="C39" s="1" t="s">
        <v>54</v>
      </c>
      <c r="D39" s="1">
        <v>0.99995999999999996</v>
      </c>
      <c r="E39" s="1">
        <v>0</v>
      </c>
      <c r="F39" s="1">
        <v>0</v>
      </c>
      <c r="G39" s="1">
        <v>0</v>
      </c>
      <c r="H39" s="1">
        <v>0</v>
      </c>
      <c r="I39" s="2">
        <v>4.0000000000000003E-5</v>
      </c>
      <c r="J39" s="1" t="s">
        <v>12</v>
      </c>
      <c r="K39" t="str">
        <f>VLOOKUP(A39,metadata!A:I,9,FALSE)</f>
        <v>NA</v>
      </c>
      <c r="L39" t="str">
        <f>VLOOKUP(A39,metadata!A:F,6,FALSE)</f>
        <v>LittleRockAR</v>
      </c>
      <c r="M39">
        <f>VLOOKUP(A39,metadata!A:D,4,FALSE)</f>
        <v>34.933332999999998</v>
      </c>
      <c r="N39">
        <f>VLOOKUP(A39,metadata!A:E,5,FALSE)</f>
        <v>-92.414721999999998</v>
      </c>
    </row>
    <row r="40" spans="1:14" ht="13" hidden="1" x14ac:dyDescent="0.6">
      <c r="A40" s="1" t="s">
        <v>55</v>
      </c>
      <c r="B40" s="1" t="s">
        <v>11</v>
      </c>
      <c r="C40" s="1" t="s">
        <v>11</v>
      </c>
      <c r="D40" s="1">
        <v>0.99729999999999996</v>
      </c>
      <c r="E40" s="1">
        <v>0</v>
      </c>
      <c r="F40" s="1">
        <v>0</v>
      </c>
      <c r="G40" s="1">
        <v>0</v>
      </c>
      <c r="H40" s="2">
        <v>3.0000000000000001E-5</v>
      </c>
      <c r="I40" s="1">
        <v>2.6800000000000001E-3</v>
      </c>
      <c r="J40" s="1" t="s">
        <v>12</v>
      </c>
      <c r="K40" t="str">
        <f>VLOOKUP(A40,metadata!A:I,9,FALSE)</f>
        <v>IL</v>
      </c>
      <c r="L40" t="str">
        <f>VLOOKUP(A40,metadata!A:F,6,FALSE)</f>
        <v>CranberrySloughIL</v>
      </c>
      <c r="M40">
        <f>VLOOKUP(A40,metadata!A:D,4,FALSE)</f>
        <v>41.721525</v>
      </c>
      <c r="N40">
        <f>VLOOKUP(A40,metadata!A:E,5,FALSE)</f>
        <v>-87.860569999999996</v>
      </c>
    </row>
    <row r="41" spans="1:14" ht="13" hidden="1" x14ac:dyDescent="0.6">
      <c r="A41" s="1" t="s">
        <v>56</v>
      </c>
      <c r="B41" s="1" t="s">
        <v>11</v>
      </c>
      <c r="C41" s="1" t="s">
        <v>57</v>
      </c>
      <c r="D41" s="1">
        <v>0.87173</v>
      </c>
      <c r="E41" s="1">
        <v>0</v>
      </c>
      <c r="F41" s="1">
        <v>0</v>
      </c>
      <c r="G41" s="1">
        <v>0</v>
      </c>
      <c r="H41" s="1">
        <v>4.4999999999999999E-4</v>
      </c>
      <c r="I41" s="1">
        <v>0.12781999999999999</v>
      </c>
      <c r="J41" s="1" t="s">
        <v>58</v>
      </c>
      <c r="K41" t="str">
        <f>VLOOKUP(A41,metadata!A:I,9,FALSE)</f>
        <v>IL</v>
      </c>
      <c r="L41" t="str">
        <f>VLOOKUP(A41,metadata!A:F,6,FALSE)</f>
        <v>CranberrySloughIL</v>
      </c>
      <c r="M41">
        <f>VLOOKUP(A41,metadata!A:D,4,FALSE)</f>
        <v>41.724335000000004</v>
      </c>
      <c r="N41">
        <f>VLOOKUP(A41,metadata!A:E,5,FALSE)</f>
        <v>-87.859900999999994</v>
      </c>
    </row>
    <row r="42" spans="1:14" ht="13" hidden="1" x14ac:dyDescent="0.6">
      <c r="A42" s="1" t="s">
        <v>59</v>
      </c>
      <c r="B42" s="1" t="s">
        <v>29</v>
      </c>
      <c r="C42" s="1" t="s">
        <v>29</v>
      </c>
      <c r="D42" s="1">
        <v>0.99639</v>
      </c>
      <c r="E42" s="1">
        <v>0</v>
      </c>
      <c r="F42" s="1">
        <v>0</v>
      </c>
      <c r="G42" s="1">
        <v>0</v>
      </c>
      <c r="H42" s="2">
        <v>3.0000000000000001E-5</v>
      </c>
      <c r="I42" s="1">
        <v>3.5799999999999998E-3</v>
      </c>
      <c r="J42" s="1" t="s">
        <v>12</v>
      </c>
      <c r="K42" t="str">
        <f>VLOOKUP(A42,metadata!A:I,9,FALSE)</f>
        <v>IL</v>
      </c>
      <c r="L42" t="str">
        <f>VLOOKUP(A42,metadata!A:F,6,FALSE)</f>
        <v>CranberrySloughIL</v>
      </c>
      <c r="M42">
        <f>VLOOKUP(A42,metadata!A:D,4,FALSE)</f>
        <v>41.726607999999999</v>
      </c>
      <c r="N42">
        <f>VLOOKUP(A42,metadata!A:E,5,FALSE)</f>
        <v>-87.866085999999996</v>
      </c>
    </row>
    <row r="43" spans="1:14" ht="13" hidden="1" x14ac:dyDescent="0.6">
      <c r="A43" s="1" t="s">
        <v>60</v>
      </c>
      <c r="B43" s="1" t="s">
        <v>29</v>
      </c>
      <c r="C43" s="1" t="s">
        <v>29</v>
      </c>
      <c r="D43" s="1">
        <v>0.99965000000000004</v>
      </c>
      <c r="E43" s="1">
        <v>0</v>
      </c>
      <c r="F43" s="1">
        <v>0</v>
      </c>
      <c r="G43" s="1">
        <v>0</v>
      </c>
      <c r="H43" s="2">
        <v>1.0000000000000001E-5</v>
      </c>
      <c r="I43" s="1">
        <v>3.5E-4</v>
      </c>
      <c r="J43" s="1" t="s">
        <v>12</v>
      </c>
      <c r="K43" t="str">
        <f>VLOOKUP(A43,metadata!A:I,9,FALSE)</f>
        <v>IL</v>
      </c>
      <c r="L43" t="str">
        <f>VLOOKUP(A43,metadata!A:F,6,FALSE)</f>
        <v>CranberrySloughIL</v>
      </c>
      <c r="M43">
        <f>VLOOKUP(A43,metadata!A:D,4,FALSE)</f>
        <v>41.7258</v>
      </c>
      <c r="N43">
        <f>VLOOKUP(A43,metadata!A:E,5,FALSE)</f>
        <v>-87.865460999999996</v>
      </c>
    </row>
    <row r="44" spans="1:14" ht="13" hidden="1" x14ac:dyDescent="0.6">
      <c r="A44" s="1" t="s">
        <v>61</v>
      </c>
      <c r="B44" s="1" t="s">
        <v>29</v>
      </c>
      <c r="C44" s="1" t="s">
        <v>29</v>
      </c>
      <c r="D44" s="1">
        <v>0.99084000000000005</v>
      </c>
      <c r="E44" s="1">
        <v>0</v>
      </c>
      <c r="F44" s="1">
        <v>0</v>
      </c>
      <c r="G44" s="1">
        <v>0</v>
      </c>
      <c r="H44" s="2">
        <v>2.0000000000000002E-5</v>
      </c>
      <c r="I44" s="1">
        <v>9.1400000000000006E-3</v>
      </c>
      <c r="J44" s="1" t="s">
        <v>12</v>
      </c>
      <c r="K44" t="str">
        <f>VLOOKUP(A44,metadata!A:I,9,FALSE)</f>
        <v>IL</v>
      </c>
      <c r="L44" t="str">
        <f>VLOOKUP(A44,metadata!A:F,6,FALSE)</f>
        <v>CranberrySloughIL</v>
      </c>
      <c r="M44">
        <f>VLOOKUP(A44,metadata!A:D,4,FALSE)</f>
        <v>41.725382000000003</v>
      </c>
      <c r="N44">
        <f>VLOOKUP(A44,metadata!A:E,5,FALSE)</f>
        <v>-87.863709999999998</v>
      </c>
    </row>
    <row r="45" spans="1:14" ht="13" hidden="1" x14ac:dyDescent="0.6">
      <c r="A45" s="1" t="s">
        <v>62</v>
      </c>
      <c r="B45" s="1" t="s">
        <v>11</v>
      </c>
      <c r="C45" s="1" t="s">
        <v>11</v>
      </c>
      <c r="D45" s="1">
        <v>0.97914000000000001</v>
      </c>
      <c r="E45" s="1">
        <v>0</v>
      </c>
      <c r="F45" s="1">
        <v>0</v>
      </c>
      <c r="G45" s="1">
        <v>0</v>
      </c>
      <c r="H45" s="2">
        <v>3.0000000000000001E-5</v>
      </c>
      <c r="I45" s="1">
        <v>2.0830000000000001E-2</v>
      </c>
      <c r="J45" s="1" t="s">
        <v>12</v>
      </c>
      <c r="K45" t="str">
        <f>VLOOKUP(A45,metadata!A:I,9,FALSE)</f>
        <v>IL</v>
      </c>
      <c r="L45" t="str">
        <f>VLOOKUP(A45,metadata!A:F,6,FALSE)</f>
        <v>CranberrySloughIL</v>
      </c>
      <c r="M45">
        <f>VLOOKUP(A45,metadata!A:D,4,FALSE)</f>
        <v>41.725689000000003</v>
      </c>
      <c r="N45">
        <f>VLOOKUP(A45,metadata!A:E,5,FALSE)</f>
        <v>-87.862598000000006</v>
      </c>
    </row>
    <row r="46" spans="1:14" ht="13" hidden="1" x14ac:dyDescent="0.6">
      <c r="A46" s="1" t="s">
        <v>63</v>
      </c>
      <c r="B46" s="1" t="s">
        <v>11</v>
      </c>
      <c r="C46" s="1" t="s">
        <v>11</v>
      </c>
      <c r="D46" s="1">
        <v>0.95250999999999997</v>
      </c>
      <c r="E46" s="1">
        <v>0</v>
      </c>
      <c r="F46" s="1">
        <v>0</v>
      </c>
      <c r="G46" s="1">
        <v>0</v>
      </c>
      <c r="H46" s="1">
        <v>1.8000000000000001E-4</v>
      </c>
      <c r="I46" s="1">
        <v>4.7309999999999998E-2</v>
      </c>
      <c r="J46" s="1" t="s">
        <v>12</v>
      </c>
      <c r="K46" t="str">
        <f>VLOOKUP(A46,metadata!A:I,9,FALSE)</f>
        <v>IL</v>
      </c>
      <c r="L46" t="str">
        <f>VLOOKUP(A46,metadata!A:F,6,FALSE)</f>
        <v>CranberrySloughIL</v>
      </c>
      <c r="M46">
        <f>VLOOKUP(A46,metadata!A:D,4,FALSE)</f>
        <v>41.718071999999999</v>
      </c>
      <c r="N46">
        <f>VLOOKUP(A46,metadata!A:E,5,FALSE)</f>
        <v>-87.866356999999994</v>
      </c>
    </row>
    <row r="47" spans="1:14" ht="13" hidden="1" x14ac:dyDescent="0.6">
      <c r="A47" s="1" t="s">
        <v>64</v>
      </c>
      <c r="B47" s="1" t="s">
        <v>11</v>
      </c>
      <c r="C47" s="1" t="s">
        <v>11</v>
      </c>
      <c r="D47" s="1">
        <v>0.99731000000000003</v>
      </c>
      <c r="E47" s="1">
        <v>0</v>
      </c>
      <c r="F47" s="1">
        <v>0</v>
      </c>
      <c r="G47" s="1">
        <v>0</v>
      </c>
      <c r="H47" s="1">
        <v>0</v>
      </c>
      <c r="I47" s="1">
        <v>2.6900000000000001E-3</v>
      </c>
      <c r="J47" s="1" t="s">
        <v>12</v>
      </c>
      <c r="K47" t="str">
        <f>VLOOKUP(A47,metadata!A:I,9,FALSE)</f>
        <v>IL</v>
      </c>
      <c r="L47" t="str">
        <f>VLOOKUP(A47,metadata!A:F,6,FALSE)</f>
        <v>CranberrySloughIL</v>
      </c>
      <c r="M47">
        <f>VLOOKUP(A47,metadata!A:D,4,FALSE)</f>
        <v>41.718089999999997</v>
      </c>
      <c r="N47">
        <f>VLOOKUP(A47,metadata!A:E,5,FALSE)</f>
        <v>-87.866302000000005</v>
      </c>
    </row>
    <row r="48" spans="1:14" ht="13" hidden="1" x14ac:dyDescent="0.6">
      <c r="A48" s="1" t="s">
        <v>65</v>
      </c>
      <c r="B48" s="1" t="s">
        <v>29</v>
      </c>
      <c r="C48" s="1" t="s">
        <v>29</v>
      </c>
      <c r="D48" s="1">
        <v>0.98673999999999995</v>
      </c>
      <c r="E48" s="1">
        <v>0</v>
      </c>
      <c r="F48" s="1">
        <v>0</v>
      </c>
      <c r="G48" s="1">
        <v>0</v>
      </c>
      <c r="H48" s="2">
        <v>6.9999999999999994E-5</v>
      </c>
      <c r="I48" s="1">
        <v>1.3180000000000001E-2</v>
      </c>
      <c r="J48" s="1" t="s">
        <v>12</v>
      </c>
      <c r="K48" t="str">
        <f>VLOOKUP(A48,metadata!A:I,9,FALSE)</f>
        <v>IL</v>
      </c>
      <c r="L48" t="str">
        <f>VLOOKUP(A48,metadata!A:F,6,FALSE)</f>
        <v>CranberrySloughIL</v>
      </c>
      <c r="M48">
        <f>VLOOKUP(A48,metadata!A:D,4,FALSE)</f>
        <v>41.718212999999999</v>
      </c>
      <c r="N48">
        <f>VLOOKUP(A48,metadata!A:E,5,FALSE)</f>
        <v>-87.866310999999996</v>
      </c>
    </row>
    <row r="49" spans="1:14" ht="13" hidden="1" x14ac:dyDescent="0.6">
      <c r="A49" s="1" t="s">
        <v>66</v>
      </c>
      <c r="B49" s="1" t="s">
        <v>11</v>
      </c>
      <c r="C49" s="1" t="s">
        <v>11</v>
      </c>
      <c r="D49" s="1">
        <v>0.99961999999999995</v>
      </c>
      <c r="E49" s="1">
        <v>0</v>
      </c>
      <c r="F49" s="1">
        <v>0</v>
      </c>
      <c r="G49" s="1">
        <v>0</v>
      </c>
      <c r="H49" s="1">
        <v>0</v>
      </c>
      <c r="I49" s="1">
        <v>3.8000000000000002E-4</v>
      </c>
      <c r="J49" s="1" t="s">
        <v>12</v>
      </c>
      <c r="K49" t="str">
        <f>VLOOKUP(A49,metadata!A:I,9,FALSE)</f>
        <v>IL</v>
      </c>
      <c r="L49" t="str">
        <f>VLOOKUP(A49,metadata!A:F,6,FALSE)</f>
        <v>CranberrySloughIL</v>
      </c>
      <c r="M49">
        <f>VLOOKUP(A49,metadata!A:D,4,FALSE)</f>
        <v>41.721240000000002</v>
      </c>
      <c r="N49">
        <f>VLOOKUP(A49,metadata!A:E,5,FALSE)</f>
        <v>-87.866643999999994</v>
      </c>
    </row>
    <row r="50" spans="1:14" ht="13" hidden="1" x14ac:dyDescent="0.6">
      <c r="A50" s="1" t="s">
        <v>67</v>
      </c>
      <c r="B50" s="1" t="s">
        <v>29</v>
      </c>
      <c r="C50" s="1" t="s">
        <v>29</v>
      </c>
      <c r="D50" s="1">
        <v>0.95196000000000003</v>
      </c>
      <c r="E50" s="1">
        <v>0</v>
      </c>
      <c r="F50" s="1">
        <v>0</v>
      </c>
      <c r="G50" s="1">
        <v>0</v>
      </c>
      <c r="H50" s="1">
        <v>1.8000000000000001E-4</v>
      </c>
      <c r="I50" s="1">
        <v>4.786E-2</v>
      </c>
      <c r="J50" s="1" t="s">
        <v>12</v>
      </c>
      <c r="K50" t="str">
        <f>VLOOKUP(A50,metadata!A:I,9,FALSE)</f>
        <v>IL</v>
      </c>
      <c r="L50" t="str">
        <f>VLOOKUP(A50,metadata!A:F,6,FALSE)</f>
        <v>RyersonWoodsIL</v>
      </c>
      <c r="M50">
        <f>VLOOKUP(A50,metadata!A:D,4,FALSE)</f>
        <v>42.183259</v>
      </c>
      <c r="N50">
        <f>VLOOKUP(A50,metadata!A:E,5,FALSE)</f>
        <v>-87.914855000000003</v>
      </c>
    </row>
    <row r="51" spans="1:14" ht="13" hidden="1" x14ac:dyDescent="0.6">
      <c r="A51" s="1" t="s">
        <v>68</v>
      </c>
      <c r="B51" s="1" t="s">
        <v>29</v>
      </c>
      <c r="C51" s="1" t="s">
        <v>29</v>
      </c>
      <c r="D51" s="1">
        <v>0.99961</v>
      </c>
      <c r="E51" s="1">
        <v>0</v>
      </c>
      <c r="F51" s="1">
        <v>0</v>
      </c>
      <c r="G51" s="1">
        <v>0</v>
      </c>
      <c r="H51" s="1">
        <v>0</v>
      </c>
      <c r="I51" s="1">
        <v>3.8000000000000002E-4</v>
      </c>
      <c r="J51" s="1" t="s">
        <v>12</v>
      </c>
      <c r="K51" t="str">
        <f>VLOOKUP(A51,metadata!A:I,9,FALSE)</f>
        <v>IL</v>
      </c>
      <c r="L51" t="str">
        <f>VLOOKUP(A51,metadata!A:F,6,FALSE)</f>
        <v>RyersonWoodsIL</v>
      </c>
      <c r="M51">
        <f>VLOOKUP(A51,metadata!A:D,4,FALSE)</f>
        <v>42.183259</v>
      </c>
      <c r="N51">
        <f>VLOOKUP(A51,metadata!A:E,5,FALSE)</f>
        <v>-87.914855000000003</v>
      </c>
    </row>
    <row r="52" spans="1:14" ht="13" hidden="1" x14ac:dyDescent="0.6">
      <c r="A52" s="1" t="s">
        <v>69</v>
      </c>
      <c r="B52" s="1" t="s">
        <v>29</v>
      </c>
      <c r="C52" s="1" t="s">
        <v>29</v>
      </c>
      <c r="D52" s="1">
        <v>0.99990999999999997</v>
      </c>
      <c r="E52" s="1">
        <v>0</v>
      </c>
      <c r="F52" s="1">
        <v>0</v>
      </c>
      <c r="G52" s="1">
        <v>0</v>
      </c>
      <c r="H52" s="1">
        <v>0</v>
      </c>
      <c r="I52" s="2">
        <v>9.0000000000000006E-5</v>
      </c>
      <c r="J52" s="1" t="s">
        <v>12</v>
      </c>
      <c r="K52" t="str">
        <f>VLOOKUP(A52,metadata!A:I,9,FALSE)</f>
        <v>IL</v>
      </c>
      <c r="L52" t="str">
        <f>VLOOKUP(A52,metadata!A:F,6,FALSE)</f>
        <v>RyersonWoodsIL</v>
      </c>
      <c r="M52">
        <f>VLOOKUP(A52,metadata!A:D,4,FALSE)</f>
        <v>42.183259</v>
      </c>
      <c r="N52">
        <f>VLOOKUP(A52,metadata!A:E,5,FALSE)</f>
        <v>-87.914855000000003</v>
      </c>
    </row>
    <row r="53" spans="1:14" ht="13" hidden="1" x14ac:dyDescent="0.6">
      <c r="A53" s="1" t="s">
        <v>70</v>
      </c>
      <c r="B53" s="1" t="s">
        <v>11</v>
      </c>
      <c r="C53" s="1" t="s">
        <v>11</v>
      </c>
      <c r="D53" s="1">
        <v>0.98655000000000004</v>
      </c>
      <c r="E53" s="1">
        <v>0</v>
      </c>
      <c r="F53" s="1">
        <v>0</v>
      </c>
      <c r="G53" s="1">
        <v>0</v>
      </c>
      <c r="H53" s="2">
        <v>1.0000000000000001E-5</v>
      </c>
      <c r="I53" s="1">
        <v>1.3429999999999999E-2</v>
      </c>
      <c r="J53" s="1" t="s">
        <v>12</v>
      </c>
      <c r="K53" t="str">
        <f>VLOOKUP(A53,metadata!A:I,9,FALSE)</f>
        <v>IL</v>
      </c>
      <c r="L53" t="str">
        <f>VLOOKUP(A53,metadata!A:F,6,FALSE)</f>
        <v>RyersonWoodsIL</v>
      </c>
      <c r="M53">
        <f>VLOOKUP(A53,metadata!A:D,4,FALSE)</f>
        <v>42.183917000000001</v>
      </c>
      <c r="N53">
        <f>VLOOKUP(A53,metadata!A:E,5,FALSE)</f>
        <v>-87.915120000000002</v>
      </c>
    </row>
    <row r="54" spans="1:14" ht="13" hidden="1" x14ac:dyDescent="0.6">
      <c r="A54" s="1" t="s">
        <v>71</v>
      </c>
      <c r="B54" s="1" t="s">
        <v>11</v>
      </c>
      <c r="C54" s="1" t="s">
        <v>11</v>
      </c>
      <c r="D54" s="1">
        <v>0.98216999999999999</v>
      </c>
      <c r="E54" s="1">
        <v>0</v>
      </c>
      <c r="F54" s="1">
        <v>0</v>
      </c>
      <c r="G54" s="1">
        <v>0</v>
      </c>
      <c r="H54" s="2">
        <v>3.0000000000000001E-5</v>
      </c>
      <c r="I54" s="1">
        <v>1.7809999999999999E-2</v>
      </c>
      <c r="J54" s="1" t="s">
        <v>12</v>
      </c>
      <c r="K54" t="str">
        <f>VLOOKUP(A54,metadata!A:I,9,FALSE)</f>
        <v>IL</v>
      </c>
      <c r="L54" t="str">
        <f>VLOOKUP(A54,metadata!A:F,6,FALSE)</f>
        <v>RyersonWoodsIL</v>
      </c>
      <c r="M54">
        <f>VLOOKUP(A54,metadata!A:D,4,FALSE)</f>
        <v>42.183917000000001</v>
      </c>
      <c r="N54">
        <f>VLOOKUP(A54,metadata!A:E,5,FALSE)</f>
        <v>-87.915120000000002</v>
      </c>
    </row>
    <row r="55" spans="1:14" ht="13" hidden="1" x14ac:dyDescent="0.6">
      <c r="A55" s="1" t="s">
        <v>72</v>
      </c>
      <c r="B55" s="1" t="s">
        <v>29</v>
      </c>
      <c r="C55" s="1" t="s">
        <v>29</v>
      </c>
      <c r="D55" s="1">
        <v>0.99997999999999998</v>
      </c>
      <c r="E55" s="1">
        <v>0</v>
      </c>
      <c r="F55" s="1">
        <v>0</v>
      </c>
      <c r="G55" s="1">
        <v>0</v>
      </c>
      <c r="H55" s="1">
        <v>0</v>
      </c>
      <c r="I55" s="2">
        <v>2.0000000000000002E-5</v>
      </c>
      <c r="J55" s="1" t="s">
        <v>12</v>
      </c>
      <c r="K55" t="str">
        <f>VLOOKUP(A55,metadata!A:I,9,FALSE)</f>
        <v>IL</v>
      </c>
      <c r="L55" t="str">
        <f>VLOOKUP(A55,metadata!A:F,6,FALSE)</f>
        <v>RyersonWoodsIL</v>
      </c>
      <c r="M55">
        <f>VLOOKUP(A55,metadata!A:D,4,FALSE)</f>
        <v>42.184283000000001</v>
      </c>
      <c r="N55">
        <f>VLOOKUP(A55,metadata!A:E,5,FALSE)</f>
        <v>-87.914621999999994</v>
      </c>
    </row>
    <row r="56" spans="1:14" ht="13" hidden="1" x14ac:dyDescent="0.6">
      <c r="A56" s="1" t="s">
        <v>73</v>
      </c>
      <c r="B56" s="1" t="s">
        <v>29</v>
      </c>
      <c r="C56" s="1" t="s">
        <v>29</v>
      </c>
      <c r="D56" s="1">
        <v>0.99946000000000002</v>
      </c>
      <c r="E56" s="1">
        <v>0</v>
      </c>
      <c r="F56" s="1">
        <v>0</v>
      </c>
      <c r="G56" s="1">
        <v>0</v>
      </c>
      <c r="H56" s="2">
        <v>1.0000000000000001E-5</v>
      </c>
      <c r="I56" s="1">
        <v>5.2999999999999998E-4</v>
      </c>
      <c r="J56" s="1" t="s">
        <v>12</v>
      </c>
      <c r="K56" t="str">
        <f>VLOOKUP(A56,metadata!A:I,9,FALSE)</f>
        <v>IL</v>
      </c>
      <c r="L56" t="str">
        <f>VLOOKUP(A56,metadata!A:F,6,FALSE)</f>
        <v>RyersonWoodsIL</v>
      </c>
      <c r="M56">
        <f>VLOOKUP(A56,metadata!A:D,4,FALSE)</f>
        <v>42.184204000000001</v>
      </c>
      <c r="N56">
        <f>VLOOKUP(A56,metadata!A:E,5,FALSE)</f>
        <v>-87.913636999999994</v>
      </c>
    </row>
    <row r="57" spans="1:14" ht="13" hidden="1" x14ac:dyDescent="0.6">
      <c r="A57" s="1" t="s">
        <v>74</v>
      </c>
      <c r="B57" s="1" t="s">
        <v>11</v>
      </c>
      <c r="C57" s="1" t="s">
        <v>11</v>
      </c>
      <c r="D57" s="1">
        <v>0.99941000000000002</v>
      </c>
      <c r="E57" s="1">
        <v>0</v>
      </c>
      <c r="F57" s="1">
        <v>0</v>
      </c>
      <c r="G57" s="1">
        <v>0</v>
      </c>
      <c r="H57" s="1">
        <v>0</v>
      </c>
      <c r="I57" s="1">
        <v>5.9000000000000003E-4</v>
      </c>
      <c r="J57" s="1" t="s">
        <v>12</v>
      </c>
      <c r="K57" t="str">
        <f>VLOOKUP(A57,metadata!A:I,9,FALSE)</f>
        <v>IL</v>
      </c>
      <c r="L57" t="str">
        <f>VLOOKUP(A57,metadata!A:F,6,FALSE)</f>
        <v>RyersonWoodsIL</v>
      </c>
      <c r="M57">
        <f>VLOOKUP(A57,metadata!A:D,4,FALSE)</f>
        <v>42.183467999999998</v>
      </c>
      <c r="N57">
        <f>VLOOKUP(A57,metadata!A:E,5,FALSE)</f>
        <v>-87.914299999999997</v>
      </c>
    </row>
    <row r="58" spans="1:14" ht="13" hidden="1" x14ac:dyDescent="0.6">
      <c r="A58" s="1" t="s">
        <v>75</v>
      </c>
      <c r="B58" s="1" t="s">
        <v>11</v>
      </c>
      <c r="C58" s="1" t="s">
        <v>11</v>
      </c>
      <c r="D58" s="1">
        <v>0.99341000000000002</v>
      </c>
      <c r="E58" s="1">
        <v>0</v>
      </c>
      <c r="F58" s="1">
        <v>0</v>
      </c>
      <c r="G58" s="1">
        <v>0</v>
      </c>
      <c r="H58" s="1">
        <v>0</v>
      </c>
      <c r="I58" s="1">
        <v>6.5900000000000004E-3</v>
      </c>
      <c r="J58" s="1" t="s">
        <v>12</v>
      </c>
      <c r="K58" t="str">
        <f>VLOOKUP(A58,metadata!A:I,9,FALSE)</f>
        <v>IL</v>
      </c>
      <c r="L58" t="str">
        <f>VLOOKUP(A58,metadata!A:F,6,FALSE)</f>
        <v>RyersonWoodsIL</v>
      </c>
      <c r="M58">
        <f>VLOOKUP(A58,metadata!A:D,4,FALSE)</f>
        <v>42.183467999999998</v>
      </c>
      <c r="N58">
        <f>VLOOKUP(A58,metadata!A:E,5,FALSE)</f>
        <v>-87.914299999999997</v>
      </c>
    </row>
    <row r="59" spans="1:14" ht="13" hidden="1" x14ac:dyDescent="0.6">
      <c r="A59" s="1" t="s">
        <v>76</v>
      </c>
      <c r="B59" s="1" t="s">
        <v>11</v>
      </c>
      <c r="C59" s="1" t="s">
        <v>11</v>
      </c>
      <c r="D59" s="1">
        <v>0.99778999999999995</v>
      </c>
      <c r="E59" s="1">
        <v>0</v>
      </c>
      <c r="F59" s="1">
        <v>0</v>
      </c>
      <c r="G59" s="1">
        <v>0</v>
      </c>
      <c r="H59" s="1">
        <v>0</v>
      </c>
      <c r="I59" s="1">
        <v>2.2100000000000002E-3</v>
      </c>
      <c r="J59" s="1" t="s">
        <v>12</v>
      </c>
      <c r="K59" t="str">
        <f>VLOOKUP(A59,metadata!A:I,9,FALSE)</f>
        <v>IL</v>
      </c>
      <c r="L59" t="str">
        <f>VLOOKUP(A59,metadata!A:F,6,FALSE)</f>
        <v>RyersonWoodsIL</v>
      </c>
      <c r="M59">
        <f>VLOOKUP(A59,metadata!A:D,4,FALSE)</f>
        <v>42.181511</v>
      </c>
      <c r="N59">
        <f>VLOOKUP(A59,metadata!A:E,5,FALSE)</f>
        <v>-87.918993999999998</v>
      </c>
    </row>
    <row r="60" spans="1:14" ht="13" hidden="1" x14ac:dyDescent="0.6">
      <c r="A60" s="1" t="s">
        <v>77</v>
      </c>
      <c r="B60" s="1" t="s">
        <v>29</v>
      </c>
      <c r="C60" s="1" t="s">
        <v>29</v>
      </c>
      <c r="D60" s="1">
        <v>0.94596999999999998</v>
      </c>
      <c r="E60" s="1">
        <v>0</v>
      </c>
      <c r="F60" s="1">
        <v>0</v>
      </c>
      <c r="G60" s="1">
        <v>0</v>
      </c>
      <c r="H60" s="1">
        <v>1.5200000000000001E-3</v>
      </c>
      <c r="I60" s="1">
        <v>5.2519999999999997E-2</v>
      </c>
      <c r="J60" s="1" t="s">
        <v>12</v>
      </c>
      <c r="K60" t="str">
        <f>VLOOKUP(A60,metadata!A:I,9,FALSE)</f>
        <v>IL</v>
      </c>
      <c r="L60" t="str">
        <f>VLOOKUP(A60,metadata!A:F,6,FALSE)</f>
        <v>RyersonWoodsIL</v>
      </c>
      <c r="M60">
        <f>VLOOKUP(A60,metadata!A:D,4,FALSE)</f>
        <v>42.177593000000002</v>
      </c>
      <c r="N60">
        <f>VLOOKUP(A60,metadata!A:E,5,FALSE)</f>
        <v>-87.920502999999997</v>
      </c>
    </row>
    <row r="61" spans="1:14" ht="13" hidden="1" x14ac:dyDescent="0.6">
      <c r="A61" s="1" t="s">
        <v>78</v>
      </c>
      <c r="B61" s="1" t="s">
        <v>11</v>
      </c>
      <c r="C61" s="1" t="s">
        <v>11</v>
      </c>
      <c r="D61" s="1">
        <v>0.99941999999999998</v>
      </c>
      <c r="E61" s="1">
        <v>0</v>
      </c>
      <c r="F61" s="1">
        <v>0</v>
      </c>
      <c r="G61" s="1">
        <v>0</v>
      </c>
      <c r="H61" s="1">
        <v>0</v>
      </c>
      <c r="I61" s="1">
        <v>5.8E-4</v>
      </c>
      <c r="J61" s="1" t="s">
        <v>12</v>
      </c>
      <c r="K61" t="str">
        <f>VLOOKUP(A61,metadata!A:I,9,FALSE)</f>
        <v>IL</v>
      </c>
      <c r="L61" t="str">
        <f>VLOOKUP(A61,metadata!A:F,6,FALSE)</f>
        <v>RyersonWoodsIL</v>
      </c>
      <c r="M61">
        <f>VLOOKUP(A61,metadata!A:D,4,FALSE)</f>
        <v>42.17597</v>
      </c>
      <c r="N61">
        <f>VLOOKUP(A61,metadata!A:E,5,FALSE)</f>
        <v>-87.916979999999995</v>
      </c>
    </row>
    <row r="62" spans="1:14" ht="13" hidden="1" x14ac:dyDescent="0.6">
      <c r="A62" s="1" t="s">
        <v>79</v>
      </c>
      <c r="B62" s="1" t="s">
        <v>29</v>
      </c>
      <c r="C62" s="1" t="s">
        <v>29</v>
      </c>
      <c r="D62" s="1">
        <v>0.99858999999999998</v>
      </c>
      <c r="E62" s="1">
        <v>0</v>
      </c>
      <c r="F62" s="1">
        <v>0</v>
      </c>
      <c r="G62" s="1">
        <v>0</v>
      </c>
      <c r="H62" s="1">
        <v>0</v>
      </c>
      <c r="I62" s="1">
        <v>1.41E-3</v>
      </c>
      <c r="J62" s="1" t="s">
        <v>12</v>
      </c>
      <c r="K62" t="str">
        <f>VLOOKUP(A62,metadata!A:I,9,FALSE)</f>
        <v>IL</v>
      </c>
      <c r="L62" t="str">
        <f>VLOOKUP(A62,metadata!A:F,6,FALSE)</f>
        <v>RyersonWoodsIL</v>
      </c>
      <c r="M62">
        <f>VLOOKUP(A62,metadata!A:D,4,FALSE)</f>
        <v>42.17597</v>
      </c>
      <c r="N62">
        <f>VLOOKUP(A62,metadata!A:E,5,FALSE)</f>
        <v>-87.916979999999995</v>
      </c>
    </row>
    <row r="63" spans="1:14" ht="13" hidden="1" x14ac:dyDescent="0.6">
      <c r="A63" s="1" t="s">
        <v>80</v>
      </c>
      <c r="B63" s="1" t="s">
        <v>29</v>
      </c>
      <c r="C63" s="1" t="s">
        <v>29</v>
      </c>
      <c r="D63" s="1">
        <v>0.99926999999999999</v>
      </c>
      <c r="E63" s="1">
        <v>0</v>
      </c>
      <c r="F63" s="1">
        <v>0</v>
      </c>
      <c r="G63" s="1">
        <v>0</v>
      </c>
      <c r="H63" s="1">
        <v>0</v>
      </c>
      <c r="I63" s="1">
        <v>7.2999999999999996E-4</v>
      </c>
      <c r="J63" s="1" t="s">
        <v>12</v>
      </c>
      <c r="K63" t="str">
        <f>VLOOKUP(A63,metadata!A:I,9,FALSE)</f>
        <v>IL</v>
      </c>
      <c r="L63" t="str">
        <f>VLOOKUP(A63,metadata!A:F,6,FALSE)</f>
        <v>RyersonWoodsIL</v>
      </c>
      <c r="M63">
        <f>VLOOKUP(A63,metadata!A:D,4,FALSE)</f>
        <v>42.174554999999998</v>
      </c>
      <c r="N63">
        <f>VLOOKUP(A63,metadata!A:E,5,FALSE)</f>
        <v>-87.912008</v>
      </c>
    </row>
    <row r="64" spans="1:14" ht="13" hidden="1" x14ac:dyDescent="0.6">
      <c r="A64" s="1" t="s">
        <v>81</v>
      </c>
      <c r="B64" s="1" t="s">
        <v>11</v>
      </c>
      <c r="C64" s="1" t="s">
        <v>11</v>
      </c>
      <c r="D64" s="1">
        <v>0.99114999999999998</v>
      </c>
      <c r="E64" s="1">
        <v>0</v>
      </c>
      <c r="F64" s="1">
        <v>0</v>
      </c>
      <c r="G64" s="1">
        <v>0</v>
      </c>
      <c r="H64" s="1">
        <v>0</v>
      </c>
      <c r="I64" s="1">
        <v>8.8500000000000002E-3</v>
      </c>
      <c r="J64" s="1" t="s">
        <v>12</v>
      </c>
      <c r="K64" t="str">
        <f>VLOOKUP(A64,metadata!A:I,9,FALSE)</f>
        <v>IL</v>
      </c>
      <c r="L64" t="str">
        <f>VLOOKUP(A64,metadata!A:F,6,FALSE)</f>
        <v>RyersonWoodsIL</v>
      </c>
      <c r="M64">
        <f>VLOOKUP(A64,metadata!A:D,4,FALSE)</f>
        <v>42.175674000000001</v>
      </c>
      <c r="N64">
        <f>VLOOKUP(A64,metadata!A:E,5,FALSE)</f>
        <v>-87.914878000000002</v>
      </c>
    </row>
    <row r="65" spans="1:14" ht="13" hidden="1" x14ac:dyDescent="0.6">
      <c r="A65" s="1" t="s">
        <v>82</v>
      </c>
      <c r="B65" s="1" t="s">
        <v>29</v>
      </c>
      <c r="C65" s="1" t="s">
        <v>29</v>
      </c>
      <c r="D65" s="1">
        <v>0.99812000000000001</v>
      </c>
      <c r="E65" s="1">
        <v>0</v>
      </c>
      <c r="F65" s="1">
        <v>0</v>
      </c>
      <c r="G65" s="1">
        <v>0</v>
      </c>
      <c r="H65" s="2">
        <v>4.0000000000000003E-5</v>
      </c>
      <c r="I65" s="1">
        <v>1.83E-3</v>
      </c>
      <c r="J65" s="1" t="s">
        <v>12</v>
      </c>
      <c r="K65" t="str">
        <f>VLOOKUP(A65,metadata!A:I,9,FALSE)</f>
        <v>IL</v>
      </c>
      <c r="L65" t="str">
        <f>VLOOKUP(A65,metadata!A:F,6,FALSE)</f>
        <v>RyersonWoodsIL</v>
      </c>
      <c r="M65">
        <f>VLOOKUP(A65,metadata!A:D,4,FALSE)</f>
        <v>42.175536000000001</v>
      </c>
      <c r="N65">
        <f>VLOOKUP(A65,metadata!A:E,5,FALSE)</f>
        <v>-87.914478000000003</v>
      </c>
    </row>
    <row r="66" spans="1:14" ht="13" hidden="1" x14ac:dyDescent="0.6">
      <c r="A66" s="1" t="s">
        <v>83</v>
      </c>
      <c r="B66" s="1" t="s">
        <v>11</v>
      </c>
      <c r="C66" s="1" t="s">
        <v>11</v>
      </c>
      <c r="D66" s="1">
        <v>0.97326000000000001</v>
      </c>
      <c r="E66" s="1">
        <v>0</v>
      </c>
      <c r="F66" s="1">
        <v>0</v>
      </c>
      <c r="G66" s="1">
        <v>0</v>
      </c>
      <c r="H66" s="1">
        <v>1.2999999999999999E-4</v>
      </c>
      <c r="I66" s="1">
        <v>2.6610000000000002E-2</v>
      </c>
      <c r="J66" s="1" t="s">
        <v>12</v>
      </c>
      <c r="K66" t="str">
        <f>VLOOKUP(A66,metadata!A:I,9,FALSE)</f>
        <v>IL</v>
      </c>
      <c r="L66" t="str">
        <f>VLOOKUP(A66,metadata!A:F,6,FALSE)</f>
        <v>RyersonWoodsIL</v>
      </c>
      <c r="M66">
        <f>VLOOKUP(A66,metadata!A:D,4,FALSE)</f>
        <v>42.175700999999997</v>
      </c>
      <c r="N66">
        <f>VLOOKUP(A66,metadata!A:E,5,FALSE)</f>
        <v>-87.914441999999994</v>
      </c>
    </row>
    <row r="67" spans="1:14" ht="13" hidden="1" x14ac:dyDescent="0.6">
      <c r="A67" s="1" t="s">
        <v>84</v>
      </c>
      <c r="B67" s="1" t="s">
        <v>11</v>
      </c>
      <c r="C67" s="1" t="s">
        <v>11</v>
      </c>
      <c r="D67" s="1">
        <v>0.97040999999999999</v>
      </c>
      <c r="E67" s="1">
        <v>0</v>
      </c>
      <c r="F67" s="1">
        <v>0</v>
      </c>
      <c r="G67" s="1">
        <v>0</v>
      </c>
      <c r="H67" s="2">
        <v>3.0000000000000001E-5</v>
      </c>
      <c r="I67" s="1">
        <v>2.9559999999999999E-2</v>
      </c>
      <c r="J67" s="1" t="s">
        <v>12</v>
      </c>
      <c r="K67" t="str">
        <f>VLOOKUP(A67,metadata!A:I,9,FALSE)</f>
        <v>IL</v>
      </c>
      <c r="L67" t="str">
        <f>VLOOKUP(A67,metadata!A:F,6,FALSE)</f>
        <v>MortonArbIL</v>
      </c>
      <c r="M67">
        <f>VLOOKUP(A67,metadata!A:D,4,FALSE)</f>
        <v>41.813470000000002</v>
      </c>
      <c r="N67">
        <f>VLOOKUP(A67,metadata!A:E,5,FALSE)</f>
        <v>-88.062929999999994</v>
      </c>
    </row>
    <row r="68" spans="1:14" ht="13" hidden="1" x14ac:dyDescent="0.6">
      <c r="A68" s="1" t="s">
        <v>85</v>
      </c>
      <c r="B68" s="1" t="s">
        <v>11</v>
      </c>
      <c r="C68" s="1" t="s">
        <v>11</v>
      </c>
      <c r="D68" s="1">
        <v>0.99729999999999996</v>
      </c>
      <c r="E68" s="1">
        <v>0</v>
      </c>
      <c r="F68" s="1">
        <v>0</v>
      </c>
      <c r="G68" s="1">
        <v>0</v>
      </c>
      <c r="H68" s="1">
        <v>0</v>
      </c>
      <c r="I68" s="1">
        <v>2.7000000000000001E-3</v>
      </c>
      <c r="J68" s="1" t="s">
        <v>12</v>
      </c>
      <c r="K68" t="str">
        <f>VLOOKUP(A68,metadata!A:I,9,FALSE)</f>
        <v>IN</v>
      </c>
      <c r="L68" t="str">
        <f>VLOOKUP(A68,metadata!A:F,6,FALSE)</f>
        <v>NA</v>
      </c>
      <c r="M68" t="str">
        <f>VLOOKUP(A68,metadata!A:D,4,FALSE)</f>
        <v>NA</v>
      </c>
      <c r="N68" t="str">
        <f>VLOOKUP(A68,metadata!A:E,5,FALSE)</f>
        <v>NA</v>
      </c>
    </row>
    <row r="69" spans="1:14" ht="13" hidden="1" x14ac:dyDescent="0.6">
      <c r="A69" s="1" t="s">
        <v>86</v>
      </c>
      <c r="B69" s="1" t="s">
        <v>19</v>
      </c>
      <c r="C69" s="1" t="s">
        <v>87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 t="s">
        <v>4</v>
      </c>
      <c r="K69" t="str">
        <f>VLOOKUP(A69,metadata!A:I,9,FALSE)</f>
        <v>NA</v>
      </c>
      <c r="L69" t="str">
        <f>VLOOKUP(A69,metadata!A:F,6,FALSE)</f>
        <v>NA</v>
      </c>
      <c r="M69" t="str">
        <f>VLOOKUP(A69,metadata!A:D,4,FALSE)</f>
        <v>NA</v>
      </c>
      <c r="N69" t="str">
        <f>VLOOKUP(A69,metadata!A:E,5,FALSE)</f>
        <v>NA</v>
      </c>
    </row>
    <row r="70" spans="1:14" ht="13" hidden="1" x14ac:dyDescent="0.6">
      <c r="A70" s="1" t="s">
        <v>88</v>
      </c>
      <c r="B70" s="1" t="s">
        <v>11</v>
      </c>
      <c r="C70" s="1" t="s">
        <v>11</v>
      </c>
      <c r="D70" s="1">
        <v>0.94862999999999997</v>
      </c>
      <c r="E70" s="1">
        <v>0</v>
      </c>
      <c r="F70" s="1">
        <v>0</v>
      </c>
      <c r="G70" s="1">
        <v>0</v>
      </c>
      <c r="H70" s="2">
        <v>4.0000000000000003E-5</v>
      </c>
      <c r="I70" s="1">
        <v>5.1330000000000001E-2</v>
      </c>
      <c r="J70" s="1" t="s">
        <v>12</v>
      </c>
      <c r="K70" t="str">
        <f>VLOOKUP(A70,metadata!A:I,9,FALSE)</f>
        <v>na</v>
      </c>
      <c r="L70" t="str">
        <f>VLOOKUP(A70,metadata!A:F,6,FALSE)</f>
        <v>NA</v>
      </c>
      <c r="M70" t="str">
        <f>VLOOKUP(A70,metadata!A:D,4,FALSE)</f>
        <v>NA</v>
      </c>
      <c r="N70" t="str">
        <f>VLOOKUP(A70,metadata!A:E,5,FALSE)</f>
        <v>NA</v>
      </c>
    </row>
    <row r="71" spans="1:14" ht="13" hidden="1" x14ac:dyDescent="0.6">
      <c r="A71" s="1" t="s">
        <v>89</v>
      </c>
      <c r="B71" s="1" t="s">
        <v>11</v>
      </c>
      <c r="C71" s="1" t="s">
        <v>11</v>
      </c>
      <c r="D71" s="1">
        <v>0.96160000000000001</v>
      </c>
      <c r="E71" s="1">
        <v>0</v>
      </c>
      <c r="F71" s="1">
        <v>0</v>
      </c>
      <c r="G71" s="1">
        <v>0</v>
      </c>
      <c r="H71" s="2">
        <v>4.0000000000000003E-5</v>
      </c>
      <c r="I71" s="1">
        <v>3.8359999999999998E-2</v>
      </c>
      <c r="J71" s="1" t="s">
        <v>12</v>
      </c>
      <c r="K71" t="str">
        <f>VLOOKUP(A71,metadata!A:I,9,FALSE)</f>
        <v>SC</v>
      </c>
      <c r="L71" t="str">
        <f>VLOOKUP(A71,metadata!A:F,6,FALSE)</f>
        <v>NA</v>
      </c>
      <c r="M71" t="str">
        <f>VLOOKUP(A71,metadata!A:D,4,FALSE)</f>
        <v>NA</v>
      </c>
      <c r="N71" t="str">
        <f>VLOOKUP(A71,metadata!A:E,5,FALSE)</f>
        <v>NA</v>
      </c>
    </row>
    <row r="72" spans="1:14" ht="13" hidden="1" x14ac:dyDescent="0.6">
      <c r="A72" s="1" t="s">
        <v>90</v>
      </c>
      <c r="B72" s="1" t="s">
        <v>11</v>
      </c>
      <c r="C72" s="1" t="s">
        <v>57</v>
      </c>
      <c r="D72" s="1">
        <v>0.8639</v>
      </c>
      <c r="E72" s="1">
        <v>0</v>
      </c>
      <c r="F72" s="1">
        <v>0</v>
      </c>
      <c r="G72" s="1">
        <v>0</v>
      </c>
      <c r="H72" s="1">
        <v>5.5000000000000003E-4</v>
      </c>
      <c r="I72" s="1">
        <v>0.13553999999999999</v>
      </c>
      <c r="J72" s="1" t="s">
        <v>58</v>
      </c>
      <c r="K72" t="str">
        <f>VLOOKUP(A72,metadata!A:I,9,FALSE)</f>
        <v>Manitoba</v>
      </c>
      <c r="L72" t="str">
        <f>VLOOKUP(A72,metadata!A:F,6,FALSE)</f>
        <v>NA</v>
      </c>
      <c r="M72" t="str">
        <f>VLOOKUP(A72,metadata!A:D,4,FALSE)</f>
        <v>NA</v>
      </c>
      <c r="N72" t="str">
        <f>VLOOKUP(A72,metadata!A:E,5,FALSE)</f>
        <v>NA</v>
      </c>
    </row>
    <row r="73" spans="1:14" ht="13" hidden="1" x14ac:dyDescent="0.6">
      <c r="A73" s="1" t="s">
        <v>91</v>
      </c>
      <c r="B73" s="1" t="s">
        <v>11</v>
      </c>
      <c r="C73" s="1" t="s">
        <v>11</v>
      </c>
      <c r="D73" s="1">
        <v>0.99902999999999997</v>
      </c>
      <c r="E73" s="1">
        <v>0</v>
      </c>
      <c r="F73" s="1">
        <v>0</v>
      </c>
      <c r="G73" s="1">
        <v>0</v>
      </c>
      <c r="H73" s="1">
        <v>0</v>
      </c>
      <c r="I73" s="1">
        <v>9.7000000000000005E-4</v>
      </c>
      <c r="J73" s="1" t="s">
        <v>12</v>
      </c>
      <c r="K73" t="str">
        <f>VLOOKUP(A73,metadata!A:I,9,FALSE)</f>
        <v>KS</v>
      </c>
      <c r="L73" t="str">
        <f>VLOOKUP(A73,metadata!A:F,6,FALSE)</f>
        <v>NA</v>
      </c>
      <c r="M73" t="str">
        <f>VLOOKUP(A73,metadata!A:D,4,FALSE)</f>
        <v>NA</v>
      </c>
      <c r="N73" t="str">
        <f>VLOOKUP(A73,metadata!A:E,5,FALSE)</f>
        <v>NA</v>
      </c>
    </row>
    <row r="74" spans="1:14" ht="13" hidden="1" x14ac:dyDescent="0.6">
      <c r="A74" s="1" t="s">
        <v>92</v>
      </c>
      <c r="B74" s="1" t="s">
        <v>11</v>
      </c>
      <c r="C74" s="1" t="s">
        <v>11</v>
      </c>
      <c r="D74" s="1">
        <v>0.99978</v>
      </c>
      <c r="E74" s="1">
        <v>0</v>
      </c>
      <c r="F74" s="1">
        <v>0</v>
      </c>
      <c r="G74" s="1">
        <v>0</v>
      </c>
      <c r="H74" s="1">
        <v>0</v>
      </c>
      <c r="I74" s="1">
        <v>2.2000000000000001E-4</v>
      </c>
      <c r="J74" s="1" t="s">
        <v>12</v>
      </c>
      <c r="K74" t="str">
        <f>VLOOKUP(A74,metadata!A:I,9,FALSE)</f>
        <v>IL</v>
      </c>
      <c r="L74" t="str">
        <f>VLOOKUP(A74,metadata!A:F,6,FALSE)</f>
        <v>NA</v>
      </c>
      <c r="M74" t="str">
        <f>VLOOKUP(A74,metadata!A:D,4,FALSE)</f>
        <v>NA</v>
      </c>
      <c r="N74" t="str">
        <f>VLOOKUP(A74,metadata!A:E,5,FALSE)</f>
        <v>NA</v>
      </c>
    </row>
    <row r="75" spans="1:14" ht="13" hidden="1" x14ac:dyDescent="0.6">
      <c r="A75" s="1" t="s">
        <v>93</v>
      </c>
      <c r="B75" s="1" t="s">
        <v>11</v>
      </c>
      <c r="C75" s="1" t="s">
        <v>11</v>
      </c>
      <c r="D75" s="1">
        <v>0.99926000000000004</v>
      </c>
      <c r="E75" s="1">
        <v>0</v>
      </c>
      <c r="F75" s="1">
        <v>0</v>
      </c>
      <c r="G75" s="1">
        <v>0</v>
      </c>
      <c r="H75" s="1">
        <v>0</v>
      </c>
      <c r="I75" s="1">
        <v>7.3999999999999999E-4</v>
      </c>
      <c r="J75" s="1" t="s">
        <v>12</v>
      </c>
      <c r="K75" t="str">
        <f>VLOOKUP(A75,metadata!A:I,9,FALSE)</f>
        <v>KS</v>
      </c>
      <c r="L75" t="str">
        <f>VLOOKUP(A75,metadata!A:F,6,FALSE)</f>
        <v>NA</v>
      </c>
      <c r="M75" t="str">
        <f>VLOOKUP(A75,metadata!A:D,4,FALSE)</f>
        <v>NA</v>
      </c>
      <c r="N75" t="str">
        <f>VLOOKUP(A75,metadata!A:E,5,FALSE)</f>
        <v>NA</v>
      </c>
    </row>
    <row r="76" spans="1:14" ht="13" hidden="1" x14ac:dyDescent="0.6">
      <c r="A76" s="1" t="s">
        <v>94</v>
      </c>
      <c r="B76" s="1" t="s">
        <v>11</v>
      </c>
      <c r="C76" s="1" t="s">
        <v>11</v>
      </c>
      <c r="D76" s="1">
        <v>0.99812999999999996</v>
      </c>
      <c r="E76" s="1">
        <v>0</v>
      </c>
      <c r="F76" s="1">
        <v>0</v>
      </c>
      <c r="G76" s="1">
        <v>0</v>
      </c>
      <c r="H76" s="1">
        <v>0</v>
      </c>
      <c r="I76" s="1">
        <v>1.8699999999999999E-3</v>
      </c>
      <c r="J76" s="1" t="s">
        <v>12</v>
      </c>
      <c r="K76" t="str">
        <f>VLOOKUP(A76,metadata!A:I,9,FALSE)</f>
        <v>NE</v>
      </c>
      <c r="L76" t="str">
        <f>VLOOKUP(A76,metadata!A:F,6,FALSE)</f>
        <v>NA</v>
      </c>
      <c r="M76" t="str">
        <f>VLOOKUP(A76,metadata!A:D,4,FALSE)</f>
        <v>NA</v>
      </c>
      <c r="N76" t="str">
        <f>VLOOKUP(A76,metadata!A:E,5,FALSE)</f>
        <v>NA</v>
      </c>
    </row>
    <row r="77" spans="1:14" ht="13" hidden="1" x14ac:dyDescent="0.6">
      <c r="A77" s="1" t="s">
        <v>95</v>
      </c>
      <c r="B77" s="1" t="s">
        <v>96</v>
      </c>
      <c r="C77" s="1" t="s">
        <v>96</v>
      </c>
      <c r="D77" s="1">
        <v>0.99944</v>
      </c>
      <c r="E77" s="1">
        <v>0</v>
      </c>
      <c r="F77" s="1">
        <v>0</v>
      </c>
      <c r="G77" s="1">
        <v>0</v>
      </c>
      <c r="H77" s="2">
        <v>1.0000000000000001E-5</v>
      </c>
      <c r="I77" s="1">
        <v>5.5999999999999995E-4</v>
      </c>
      <c r="J77" s="1" t="s">
        <v>12</v>
      </c>
      <c r="K77" t="str">
        <f>VLOOKUP(A77,metadata!A:I,9,FALSE)</f>
        <v>ND</v>
      </c>
      <c r="L77" t="str">
        <f>VLOOKUP(A77,metadata!A:F,6,FALSE)</f>
        <v>NA</v>
      </c>
      <c r="M77" t="str">
        <f>VLOOKUP(A77,metadata!A:D,4,FALSE)</f>
        <v>NA</v>
      </c>
      <c r="N77" t="str">
        <f>VLOOKUP(A77,metadata!A:E,5,FALSE)</f>
        <v>NA</v>
      </c>
    </row>
    <row r="78" spans="1:14" ht="13" x14ac:dyDescent="0.6">
      <c r="A78" s="1" t="s">
        <v>97</v>
      </c>
      <c r="B78" s="1" t="s">
        <v>11</v>
      </c>
      <c r="C78" s="1" t="s">
        <v>57</v>
      </c>
      <c r="D78" s="1">
        <v>0</v>
      </c>
      <c r="E78" s="1">
        <v>0</v>
      </c>
      <c r="F78" s="2">
        <v>1.0000000000000001E-5</v>
      </c>
      <c r="G78" s="1">
        <v>0.91393999999999997</v>
      </c>
      <c r="H78" s="1">
        <v>8.1299999999999997E-2</v>
      </c>
      <c r="I78" s="1">
        <v>4.7499999999999999E-3</v>
      </c>
      <c r="J78" s="1" t="s">
        <v>6</v>
      </c>
      <c r="K78" t="str">
        <f>VLOOKUP(A78,metadata!A:I,9,FALSE)</f>
        <v>OK</v>
      </c>
      <c r="L78" t="str">
        <f>VLOOKUP(A78,metadata!A:F,6,FALSE)</f>
        <v>NA</v>
      </c>
      <c r="M78" t="str">
        <f>VLOOKUP(A78,metadata!A:D,4,FALSE)</f>
        <v>NA</v>
      </c>
      <c r="N78" t="str">
        <f>VLOOKUP(A78,metadata!A:E,5,FALSE)</f>
        <v>NA</v>
      </c>
    </row>
    <row r="79" spans="1:14" ht="13" hidden="1" x14ac:dyDescent="0.6">
      <c r="A79" s="1" t="s">
        <v>98</v>
      </c>
      <c r="B79" s="1" t="s">
        <v>11</v>
      </c>
      <c r="C79" s="1" t="s">
        <v>11</v>
      </c>
      <c r="D79" s="1">
        <v>0.99887000000000004</v>
      </c>
      <c r="E79" s="1">
        <v>0</v>
      </c>
      <c r="F79" s="1">
        <v>0</v>
      </c>
      <c r="G79" s="1">
        <v>0</v>
      </c>
      <c r="H79" s="1">
        <v>0</v>
      </c>
      <c r="I79" s="1">
        <v>1.1299999999999999E-3</v>
      </c>
      <c r="J79" s="1" t="s">
        <v>12</v>
      </c>
      <c r="K79" t="str">
        <f>VLOOKUP(A79,metadata!A:I,9,FALSE)</f>
        <v>KS</v>
      </c>
      <c r="L79" t="str">
        <f>VLOOKUP(A79,metadata!A:F,6,FALSE)</f>
        <v>NA</v>
      </c>
      <c r="M79" t="str">
        <f>VLOOKUP(A79,metadata!A:D,4,FALSE)</f>
        <v>NA</v>
      </c>
      <c r="N79" t="str">
        <f>VLOOKUP(A79,metadata!A:E,5,FALSE)</f>
        <v>NA</v>
      </c>
    </row>
    <row r="80" spans="1:14" ht="13" hidden="1" x14ac:dyDescent="0.6">
      <c r="A80" s="1" t="s">
        <v>99</v>
      </c>
      <c r="B80" s="1" t="s">
        <v>11</v>
      </c>
      <c r="C80" s="1" t="s">
        <v>11</v>
      </c>
      <c r="D80" s="1">
        <v>0.91822000000000004</v>
      </c>
      <c r="E80" s="1">
        <v>0</v>
      </c>
      <c r="F80" s="1">
        <v>0</v>
      </c>
      <c r="G80" s="1">
        <v>0</v>
      </c>
      <c r="H80" s="1">
        <v>4.6000000000000001E-4</v>
      </c>
      <c r="I80" s="1">
        <v>8.1320000000000003E-2</v>
      </c>
      <c r="J80" s="1" t="s">
        <v>12</v>
      </c>
      <c r="K80" t="str">
        <f>VLOOKUP(A80,metadata!A:I,9,FALSE)</f>
        <v>NA</v>
      </c>
      <c r="L80" t="str">
        <f>VLOOKUP(A80,metadata!A:F,6,FALSE)</f>
        <v>NA</v>
      </c>
      <c r="M80" t="str">
        <f>VLOOKUP(A80,metadata!A:D,4,FALSE)</f>
        <v>NA</v>
      </c>
      <c r="N80" t="str">
        <f>VLOOKUP(A80,metadata!A:E,5,FALSE)</f>
        <v>NA</v>
      </c>
    </row>
    <row r="81" spans="1:14" ht="13" hidden="1" x14ac:dyDescent="0.6">
      <c r="A81" s="1" t="s">
        <v>100</v>
      </c>
      <c r="B81" s="1" t="s">
        <v>54</v>
      </c>
      <c r="C81" s="1" t="s">
        <v>54</v>
      </c>
      <c r="D81" s="1">
        <v>0.99992999999999999</v>
      </c>
      <c r="E81" s="1">
        <v>0</v>
      </c>
      <c r="F81" s="1">
        <v>0</v>
      </c>
      <c r="G81" s="1">
        <v>0</v>
      </c>
      <c r="H81" s="1">
        <v>0</v>
      </c>
      <c r="I81" s="2">
        <v>6.9999999999999994E-5</v>
      </c>
      <c r="J81" s="1" t="s">
        <v>12</v>
      </c>
      <c r="K81" t="str">
        <f>VLOOKUP(A81,metadata!A:I,9,FALSE)</f>
        <v>TX</v>
      </c>
      <c r="L81" t="str">
        <f>VLOOKUP(A81,metadata!A:F,6,FALSE)</f>
        <v>NA</v>
      </c>
      <c r="M81" t="str">
        <f>VLOOKUP(A81,metadata!A:D,4,FALSE)</f>
        <v>NA</v>
      </c>
      <c r="N81" t="str">
        <f>VLOOKUP(A81,metadata!A:E,5,FALSE)</f>
        <v>NA</v>
      </c>
    </row>
    <row r="82" spans="1:14" ht="13" x14ac:dyDescent="0.6">
      <c r="A82" s="1" t="s">
        <v>101</v>
      </c>
      <c r="B82" s="1" t="s">
        <v>11</v>
      </c>
      <c r="C82" s="1" t="s">
        <v>11</v>
      </c>
      <c r="D82" s="1">
        <v>0.97953999999999997</v>
      </c>
      <c r="E82" s="1">
        <v>0</v>
      </c>
      <c r="F82" s="1">
        <v>0</v>
      </c>
      <c r="G82" s="1">
        <v>0</v>
      </c>
      <c r="H82" s="2">
        <v>2.0000000000000002E-5</v>
      </c>
      <c r="I82" s="1">
        <v>2.044E-2</v>
      </c>
      <c r="J82" s="1" t="s">
        <v>12</v>
      </c>
      <c r="K82" t="str">
        <f>VLOOKUP(A82,metadata!A:I,9,FALSE)</f>
        <v>OK</v>
      </c>
      <c r="L82" t="str">
        <f>VLOOKUP(A82,metadata!A:F,6,FALSE)</f>
        <v>NA</v>
      </c>
      <c r="M82" t="str">
        <f>VLOOKUP(A82,metadata!A:D,4,FALSE)</f>
        <v>NA</v>
      </c>
      <c r="N82" t="str">
        <f>VLOOKUP(A82,metadata!A:E,5,FALSE)</f>
        <v>NA</v>
      </c>
    </row>
    <row r="83" spans="1:14" ht="13" hidden="1" x14ac:dyDescent="0.6">
      <c r="A83" s="1" t="s">
        <v>102</v>
      </c>
      <c r="B83" s="1" t="s">
        <v>11</v>
      </c>
      <c r="C83" s="1" t="s">
        <v>11</v>
      </c>
      <c r="D83" s="1">
        <v>0.99748000000000003</v>
      </c>
      <c r="E83" s="1">
        <v>0</v>
      </c>
      <c r="F83" s="1">
        <v>0</v>
      </c>
      <c r="G83" s="1">
        <v>0</v>
      </c>
      <c r="H83" s="1">
        <v>0</v>
      </c>
      <c r="I83" s="1">
        <v>2.5100000000000001E-3</v>
      </c>
      <c r="J83" s="1" t="s">
        <v>12</v>
      </c>
      <c r="K83" t="str">
        <f>VLOOKUP(A83,metadata!A:I,9,FALSE)</f>
        <v>MO</v>
      </c>
      <c r="L83" t="str">
        <f>VLOOKUP(A83,metadata!A:F,6,FALSE)</f>
        <v>NA</v>
      </c>
      <c r="M83" t="str">
        <f>VLOOKUP(A83,metadata!A:D,4,FALSE)</f>
        <v>NA</v>
      </c>
      <c r="N83" t="str">
        <f>VLOOKUP(A83,metadata!A:E,5,FALSE)</f>
        <v>NA</v>
      </c>
    </row>
    <row r="84" spans="1:14" ht="13" hidden="1" x14ac:dyDescent="0.6">
      <c r="A84" s="1" t="s">
        <v>103</v>
      </c>
      <c r="B84" s="1" t="s">
        <v>11</v>
      </c>
      <c r="C84" s="1" t="s">
        <v>11</v>
      </c>
      <c r="D84" s="1">
        <v>0.99970000000000003</v>
      </c>
      <c r="E84" s="1">
        <v>0</v>
      </c>
      <c r="F84" s="1">
        <v>0</v>
      </c>
      <c r="G84" s="1">
        <v>0</v>
      </c>
      <c r="H84" s="1">
        <v>0</v>
      </c>
      <c r="I84" s="2">
        <v>2.9999999999999997E-4</v>
      </c>
      <c r="J84" s="1" t="s">
        <v>12</v>
      </c>
      <c r="K84" t="str">
        <f>VLOOKUP(A84,metadata!A:I,9,FALSE)</f>
        <v>NE</v>
      </c>
      <c r="L84" t="str">
        <f>VLOOKUP(A84,metadata!A:F,6,FALSE)</f>
        <v>NA</v>
      </c>
      <c r="M84" t="str">
        <f>VLOOKUP(A84,metadata!A:D,4,FALSE)</f>
        <v>NA</v>
      </c>
      <c r="N84" t="str">
        <f>VLOOKUP(A84,metadata!A:E,5,FALSE)</f>
        <v>NA</v>
      </c>
    </row>
    <row r="85" spans="1:14" ht="13" hidden="1" x14ac:dyDescent="0.6">
      <c r="A85" s="1" t="s">
        <v>104</v>
      </c>
      <c r="B85" s="1" t="s">
        <v>11</v>
      </c>
      <c r="C85" s="1" t="s">
        <v>11</v>
      </c>
      <c r="D85" s="1">
        <v>0.91435999999999995</v>
      </c>
      <c r="E85" s="1">
        <v>0</v>
      </c>
      <c r="F85" s="1">
        <v>0</v>
      </c>
      <c r="G85" s="1">
        <v>0</v>
      </c>
      <c r="H85" s="1">
        <v>5.4000000000000001E-4</v>
      </c>
      <c r="I85" s="1">
        <v>8.5099999999999995E-2</v>
      </c>
      <c r="J85" s="1" t="s">
        <v>12</v>
      </c>
      <c r="K85" t="str">
        <f>VLOOKUP(A85,metadata!A:I,9,FALSE)</f>
        <v>na</v>
      </c>
      <c r="L85" t="str">
        <f>VLOOKUP(A85,metadata!A:F,6,FALSE)</f>
        <v>NA</v>
      </c>
      <c r="M85" t="str">
        <f>VLOOKUP(A85,metadata!A:D,4,FALSE)</f>
        <v>NA</v>
      </c>
      <c r="N85" t="str">
        <f>VLOOKUP(A85,metadata!A:E,5,FALSE)</f>
        <v>NA</v>
      </c>
    </row>
    <row r="86" spans="1:14" ht="13" hidden="1" x14ac:dyDescent="0.6">
      <c r="A86" s="1" t="s">
        <v>105</v>
      </c>
      <c r="B86" s="1" t="s">
        <v>43</v>
      </c>
      <c r="C86" s="1" t="s">
        <v>43</v>
      </c>
      <c r="D86" s="1">
        <v>0.99995000000000001</v>
      </c>
      <c r="E86" s="1">
        <v>0</v>
      </c>
      <c r="F86" s="1">
        <v>0</v>
      </c>
      <c r="G86" s="1">
        <v>0</v>
      </c>
      <c r="H86" s="1">
        <v>0</v>
      </c>
      <c r="I86" s="2">
        <v>5.0000000000000002E-5</v>
      </c>
      <c r="J86" s="1" t="s">
        <v>12</v>
      </c>
      <c r="K86" t="str">
        <f>VLOOKUP(A86,metadata!A:I,9,FALSE)</f>
        <v>IL</v>
      </c>
      <c r="L86" t="str">
        <f>VLOOKUP(A86,metadata!A:F,6,FALSE)</f>
        <v>NA</v>
      </c>
      <c r="M86" t="str">
        <f>VLOOKUP(A86,metadata!A:D,4,FALSE)</f>
        <v>NA</v>
      </c>
      <c r="N86" t="str">
        <f>VLOOKUP(A86,metadata!A:E,5,FALSE)</f>
        <v>NA</v>
      </c>
    </row>
    <row r="87" spans="1:14" ht="13" hidden="1" x14ac:dyDescent="0.6">
      <c r="A87" s="1" t="s">
        <v>106</v>
      </c>
      <c r="B87" s="1" t="s">
        <v>11</v>
      </c>
      <c r="C87" s="1" t="s">
        <v>11</v>
      </c>
      <c r="D87" s="1">
        <v>0.99916000000000005</v>
      </c>
      <c r="E87" s="1">
        <v>0</v>
      </c>
      <c r="F87" s="1">
        <v>0</v>
      </c>
      <c r="G87" s="1">
        <v>0</v>
      </c>
      <c r="H87" s="1">
        <v>0</v>
      </c>
      <c r="I87" s="1">
        <v>8.4000000000000003E-4</v>
      </c>
      <c r="J87" s="1" t="s">
        <v>12</v>
      </c>
      <c r="K87" t="str">
        <f>VLOOKUP(A87,metadata!A:I,9,FALSE)</f>
        <v>NA</v>
      </c>
      <c r="L87" t="str">
        <f>VLOOKUP(A87,metadata!A:F,6,FALSE)</f>
        <v>NA</v>
      </c>
      <c r="M87" t="str">
        <f>VLOOKUP(A87,metadata!A:D,4,FALSE)</f>
        <v>NA</v>
      </c>
      <c r="N87" t="str">
        <f>VLOOKUP(A87,metadata!A:E,5,FALSE)</f>
        <v>NA</v>
      </c>
    </row>
    <row r="88" spans="1:14" ht="13" hidden="1" x14ac:dyDescent="0.6">
      <c r="A88" s="1" t="s">
        <v>107</v>
      </c>
      <c r="B88" s="1" t="s">
        <v>96</v>
      </c>
      <c r="C88" s="1" t="s">
        <v>96</v>
      </c>
      <c r="D88" s="1">
        <v>0.95213000000000003</v>
      </c>
      <c r="E88" s="1">
        <v>0</v>
      </c>
      <c r="F88" s="1">
        <v>0</v>
      </c>
      <c r="G88" s="1">
        <v>0</v>
      </c>
      <c r="H88" s="1">
        <v>5.1399999999999996E-3</v>
      </c>
      <c r="I88" s="1">
        <v>4.2729999999999997E-2</v>
      </c>
      <c r="J88" s="1" t="s">
        <v>12</v>
      </c>
      <c r="K88" t="str">
        <f>VLOOKUP(A88,metadata!A:I,9,FALSE)</f>
        <v>MO</v>
      </c>
      <c r="L88" t="str">
        <f>VLOOKUP(A88,metadata!A:F,6,FALSE)</f>
        <v>NA</v>
      </c>
      <c r="M88" t="str">
        <f>VLOOKUP(A88,metadata!A:D,4,FALSE)</f>
        <v>NA</v>
      </c>
      <c r="N88" t="str">
        <f>VLOOKUP(A88,metadata!A:E,5,FALSE)</f>
        <v>NA</v>
      </c>
    </row>
    <row r="89" spans="1:14" ht="13" hidden="1" x14ac:dyDescent="0.6">
      <c r="A89" s="1" t="s">
        <v>108</v>
      </c>
      <c r="B89" s="1" t="s">
        <v>11</v>
      </c>
      <c r="C89" s="1" t="s">
        <v>11</v>
      </c>
      <c r="D89" s="1">
        <v>0.99775000000000003</v>
      </c>
      <c r="E89" s="1">
        <v>0</v>
      </c>
      <c r="F89" s="1">
        <v>0</v>
      </c>
      <c r="G89" s="1">
        <v>0</v>
      </c>
      <c r="H89" s="2">
        <v>1.0000000000000001E-5</v>
      </c>
      <c r="I89" s="1">
        <v>2.2300000000000002E-3</v>
      </c>
      <c r="J89" s="1" t="s">
        <v>12</v>
      </c>
      <c r="K89" t="str">
        <f>VLOOKUP(A89,metadata!A:I,9,FALSE)</f>
        <v>IL</v>
      </c>
      <c r="L89" t="str">
        <f>VLOOKUP(A89,metadata!A:F,6,FALSE)</f>
        <v>NA</v>
      </c>
      <c r="M89" t="str">
        <f>VLOOKUP(A89,metadata!A:D,4,FALSE)</f>
        <v>NA</v>
      </c>
      <c r="N89" t="str">
        <f>VLOOKUP(A89,metadata!A:E,5,FALSE)</f>
        <v>NA</v>
      </c>
    </row>
    <row r="90" spans="1:14" ht="13" hidden="1" x14ac:dyDescent="0.6">
      <c r="A90" s="1" t="s">
        <v>109</v>
      </c>
      <c r="B90" s="1" t="s">
        <v>11</v>
      </c>
      <c r="C90" s="1" t="s">
        <v>11</v>
      </c>
      <c r="D90" s="1">
        <v>0.99295</v>
      </c>
      <c r="E90" s="1">
        <v>0</v>
      </c>
      <c r="F90" s="1">
        <v>0</v>
      </c>
      <c r="G90" s="1">
        <v>0</v>
      </c>
      <c r="H90" s="2">
        <v>1.0000000000000001E-5</v>
      </c>
      <c r="I90" s="1">
        <v>7.0499999999999998E-3</v>
      </c>
      <c r="J90" s="1" t="s">
        <v>12</v>
      </c>
      <c r="K90" t="str">
        <f>VLOOKUP(A90,metadata!A:I,9,FALSE)</f>
        <v>NE</v>
      </c>
      <c r="L90" t="str">
        <f>VLOOKUP(A90,metadata!A:F,6,FALSE)</f>
        <v>NA</v>
      </c>
      <c r="M90" t="str">
        <f>VLOOKUP(A90,metadata!A:D,4,FALSE)</f>
        <v>NA</v>
      </c>
      <c r="N90" t="str">
        <f>VLOOKUP(A90,metadata!A:E,5,FALSE)</f>
        <v>NA</v>
      </c>
    </row>
    <row r="91" spans="1:14" ht="13" hidden="1" x14ac:dyDescent="0.6">
      <c r="A91" s="1" t="s">
        <v>110</v>
      </c>
      <c r="B91" s="1" t="s">
        <v>11</v>
      </c>
      <c r="C91" s="1" t="s">
        <v>57</v>
      </c>
      <c r="D91" s="1">
        <v>0.88322999999999996</v>
      </c>
      <c r="E91" s="1">
        <v>0</v>
      </c>
      <c r="F91" s="1">
        <v>0</v>
      </c>
      <c r="G91" s="1">
        <v>0</v>
      </c>
      <c r="H91" s="2">
        <v>6.9999999999999999E-4</v>
      </c>
      <c r="I91" s="1">
        <v>0.11607000000000001</v>
      </c>
      <c r="J91" s="1" t="s">
        <v>58</v>
      </c>
      <c r="K91" t="str">
        <f>VLOOKUP(A91,metadata!A:I,9,FALSE)</f>
        <v>NE</v>
      </c>
      <c r="L91" t="str">
        <f>VLOOKUP(A91,metadata!A:F,6,FALSE)</f>
        <v>NA</v>
      </c>
      <c r="M91" t="str">
        <f>VLOOKUP(A91,metadata!A:D,4,FALSE)</f>
        <v>NA</v>
      </c>
      <c r="N91" t="str">
        <f>VLOOKUP(A91,metadata!A:E,5,FALSE)</f>
        <v>NA</v>
      </c>
    </row>
    <row r="92" spans="1:14" ht="13" hidden="1" x14ac:dyDescent="0.6">
      <c r="A92" s="1" t="s">
        <v>111</v>
      </c>
      <c r="B92" s="1" t="s">
        <v>11</v>
      </c>
      <c r="C92" s="1" t="s">
        <v>11</v>
      </c>
      <c r="D92" s="1">
        <v>0.99707000000000001</v>
      </c>
      <c r="E92" s="1">
        <v>0</v>
      </c>
      <c r="F92" s="1">
        <v>0</v>
      </c>
      <c r="G92" s="1">
        <v>0</v>
      </c>
      <c r="H92" s="1">
        <v>0</v>
      </c>
      <c r="I92" s="1">
        <v>2.9299999999999999E-3</v>
      </c>
      <c r="J92" s="1" t="s">
        <v>12</v>
      </c>
      <c r="K92" t="str">
        <f>VLOOKUP(A92,metadata!A:I,9,FALSE)</f>
        <v>IL</v>
      </c>
      <c r="L92" t="str">
        <f>VLOOKUP(A92,metadata!A:F,6,FALSE)</f>
        <v>NA</v>
      </c>
      <c r="M92" t="str">
        <f>VLOOKUP(A92,metadata!A:D,4,FALSE)</f>
        <v>NA</v>
      </c>
      <c r="N92" t="str">
        <f>VLOOKUP(A92,metadata!A:E,5,FALSE)</f>
        <v>NA</v>
      </c>
    </row>
    <row r="93" spans="1:14" ht="13" hidden="1" x14ac:dyDescent="0.6">
      <c r="A93" s="1" t="s">
        <v>112</v>
      </c>
      <c r="B93" s="1" t="s">
        <v>11</v>
      </c>
      <c r="C93" s="1" t="s">
        <v>11</v>
      </c>
      <c r="D93" s="1">
        <v>0.99126999999999998</v>
      </c>
      <c r="E93" s="1">
        <v>0</v>
      </c>
      <c r="F93" s="1">
        <v>0</v>
      </c>
      <c r="G93" s="1">
        <v>0</v>
      </c>
      <c r="H93" s="1">
        <v>0</v>
      </c>
      <c r="I93" s="1">
        <v>8.7299999999999999E-3</v>
      </c>
      <c r="J93" s="1" t="s">
        <v>12</v>
      </c>
      <c r="K93" t="str">
        <f>VLOOKUP(A93,metadata!A:I,9,FALSE)</f>
        <v>Ontario</v>
      </c>
      <c r="L93" t="str">
        <f>VLOOKUP(A93,metadata!A:F,6,FALSE)</f>
        <v>NA</v>
      </c>
      <c r="M93" t="str">
        <f>VLOOKUP(A93,metadata!A:D,4,FALSE)</f>
        <v>NA</v>
      </c>
      <c r="N93" t="str">
        <f>VLOOKUP(A93,metadata!A:E,5,FALSE)</f>
        <v>NA</v>
      </c>
    </row>
    <row r="94" spans="1:14" ht="13" hidden="1" x14ac:dyDescent="0.6">
      <c r="A94" s="1" t="s">
        <v>113</v>
      </c>
      <c r="B94" s="1" t="s">
        <v>11</v>
      </c>
      <c r="C94" s="1" t="s">
        <v>11</v>
      </c>
      <c r="D94" s="1">
        <v>0.99973999999999996</v>
      </c>
      <c r="E94" s="1">
        <v>0</v>
      </c>
      <c r="F94" s="1">
        <v>0</v>
      </c>
      <c r="G94" s="1">
        <v>0</v>
      </c>
      <c r="H94" s="1">
        <v>0</v>
      </c>
      <c r="I94" s="1">
        <v>2.5999999999999998E-4</v>
      </c>
      <c r="J94" s="1" t="s">
        <v>12</v>
      </c>
      <c r="K94" t="str">
        <f>VLOOKUP(A94,metadata!A:I,9,FALSE)</f>
        <v>TX</v>
      </c>
      <c r="L94" t="str">
        <f>VLOOKUP(A94,metadata!A:F,6,FALSE)</f>
        <v>NA</v>
      </c>
      <c r="M94" t="str">
        <f>VLOOKUP(A94,metadata!A:D,4,FALSE)</f>
        <v>NA</v>
      </c>
      <c r="N94" t="str">
        <f>VLOOKUP(A94,metadata!A:E,5,FALSE)</f>
        <v>NA</v>
      </c>
    </row>
    <row r="95" spans="1:14" ht="13" hidden="1" x14ac:dyDescent="0.6">
      <c r="A95" s="1" t="s">
        <v>114</v>
      </c>
      <c r="B95" s="1" t="s">
        <v>11</v>
      </c>
      <c r="C95" s="1" t="s">
        <v>11</v>
      </c>
      <c r="D95" s="1">
        <v>0.99897000000000002</v>
      </c>
      <c r="E95" s="1">
        <v>0</v>
      </c>
      <c r="F95" s="1">
        <v>0</v>
      </c>
      <c r="G95" s="1">
        <v>0</v>
      </c>
      <c r="H95" s="1">
        <v>0</v>
      </c>
      <c r="I95" s="1">
        <v>1.0300000000000001E-3</v>
      </c>
      <c r="J95" s="1" t="s">
        <v>12</v>
      </c>
      <c r="K95" t="str">
        <f>VLOOKUP(A95,metadata!A:I,9,FALSE)</f>
        <v>MO</v>
      </c>
      <c r="L95" t="str">
        <f>VLOOKUP(A95,metadata!A:F,6,FALSE)</f>
        <v>NA</v>
      </c>
      <c r="M95" t="str">
        <f>VLOOKUP(A95,metadata!A:D,4,FALSE)</f>
        <v>NA</v>
      </c>
      <c r="N95" t="str">
        <f>VLOOKUP(A95,metadata!A:E,5,FALSE)</f>
        <v>NA</v>
      </c>
    </row>
    <row r="96" spans="1:14" ht="13" x14ac:dyDescent="0.6">
      <c r="A96" s="1" t="s">
        <v>115</v>
      </c>
      <c r="B96" s="1" t="s">
        <v>11</v>
      </c>
      <c r="C96" s="1" t="s">
        <v>11</v>
      </c>
      <c r="D96" s="1">
        <v>0.98804999999999998</v>
      </c>
      <c r="E96" s="1">
        <v>0</v>
      </c>
      <c r="F96" s="1">
        <v>0</v>
      </c>
      <c r="G96" s="1">
        <v>0</v>
      </c>
      <c r="H96" s="2">
        <v>1.0000000000000001E-5</v>
      </c>
      <c r="I96" s="1">
        <v>1.1939999999999999E-2</v>
      </c>
      <c r="J96" s="1" t="s">
        <v>12</v>
      </c>
      <c r="K96" t="str">
        <f>VLOOKUP(A96,metadata!A:I,9,FALSE)</f>
        <v>OK</v>
      </c>
      <c r="L96" t="str">
        <f>VLOOKUP(A96,metadata!A:F,6,FALSE)</f>
        <v>NA</v>
      </c>
      <c r="M96" t="str">
        <f>VLOOKUP(A96,metadata!A:D,4,FALSE)</f>
        <v>NA</v>
      </c>
      <c r="N96" t="str">
        <f>VLOOKUP(A96,metadata!A:E,5,FALSE)</f>
        <v>NA</v>
      </c>
    </row>
    <row r="97" spans="1:14" ht="13" hidden="1" x14ac:dyDescent="0.6">
      <c r="A97" s="1" t="s">
        <v>116</v>
      </c>
      <c r="B97" s="1" t="s">
        <v>11</v>
      </c>
      <c r="C97" s="1" t="s">
        <v>11</v>
      </c>
      <c r="D97" s="1">
        <v>0.99548000000000003</v>
      </c>
      <c r="E97" s="1">
        <v>0</v>
      </c>
      <c r="F97" s="1">
        <v>0</v>
      </c>
      <c r="G97" s="1">
        <v>0</v>
      </c>
      <c r="H97" s="1">
        <v>0</v>
      </c>
      <c r="I97" s="1">
        <v>4.5100000000000001E-3</v>
      </c>
      <c r="J97" s="1" t="s">
        <v>12</v>
      </c>
      <c r="K97" t="str">
        <f>VLOOKUP(A97,metadata!A:I,9,FALSE)</f>
        <v>NE</v>
      </c>
      <c r="L97" t="str">
        <f>VLOOKUP(A97,metadata!A:F,6,FALSE)</f>
        <v>NA</v>
      </c>
      <c r="M97" t="str">
        <f>VLOOKUP(A97,metadata!A:D,4,FALSE)</f>
        <v>NA</v>
      </c>
      <c r="N97" t="str">
        <f>VLOOKUP(A97,metadata!A:E,5,FALSE)</f>
        <v>NA</v>
      </c>
    </row>
    <row r="98" spans="1:14" ht="13" hidden="1" x14ac:dyDescent="0.6">
      <c r="A98" s="1" t="s">
        <v>117</v>
      </c>
      <c r="B98" s="1" t="s">
        <v>11</v>
      </c>
      <c r="C98" s="1" t="s">
        <v>57</v>
      </c>
      <c r="D98" s="1">
        <v>0.82991000000000004</v>
      </c>
      <c r="E98" s="1">
        <v>0</v>
      </c>
      <c r="F98" s="1">
        <v>0</v>
      </c>
      <c r="G98" s="1">
        <v>0</v>
      </c>
      <c r="H98" s="1">
        <v>5.4000000000000001E-4</v>
      </c>
      <c r="I98" s="1">
        <v>0.16954</v>
      </c>
      <c r="J98" s="1" t="s">
        <v>58</v>
      </c>
      <c r="K98" t="str">
        <f>VLOOKUP(A98,metadata!A:I,9,FALSE)</f>
        <v>MN</v>
      </c>
      <c r="L98" t="str">
        <f>VLOOKUP(A98,metadata!A:F,6,FALSE)</f>
        <v>NA</v>
      </c>
      <c r="M98" t="str">
        <f>VLOOKUP(A98,metadata!A:D,4,FALSE)</f>
        <v>NA</v>
      </c>
      <c r="N98" t="str">
        <f>VLOOKUP(A98,metadata!A:E,5,FALSE)</f>
        <v>NA</v>
      </c>
    </row>
    <row r="99" spans="1:14" ht="13" hidden="1" x14ac:dyDescent="0.6">
      <c r="A99" s="1" t="s">
        <v>118</v>
      </c>
      <c r="B99" s="1" t="s">
        <v>11</v>
      </c>
      <c r="C99" s="1" t="s">
        <v>11</v>
      </c>
      <c r="D99" s="1">
        <v>0.99773999999999996</v>
      </c>
      <c r="E99" s="1">
        <v>0</v>
      </c>
      <c r="F99" s="1">
        <v>0</v>
      </c>
      <c r="G99" s="1">
        <v>0</v>
      </c>
      <c r="H99" s="1">
        <v>0</v>
      </c>
      <c r="I99" s="1">
        <v>2.2599999999999999E-3</v>
      </c>
      <c r="J99" s="1" t="s">
        <v>12</v>
      </c>
      <c r="K99" t="str">
        <f>VLOOKUP(A99,metadata!A:I,9,FALSE)</f>
        <v>IL</v>
      </c>
      <c r="L99" t="str">
        <f>VLOOKUP(A99,metadata!A:F,6,FALSE)</f>
        <v>NA</v>
      </c>
      <c r="M99" t="str">
        <f>VLOOKUP(A99,metadata!A:D,4,FALSE)</f>
        <v>NA</v>
      </c>
      <c r="N99" t="str">
        <f>VLOOKUP(A99,metadata!A:E,5,FALSE)</f>
        <v>NA</v>
      </c>
    </row>
    <row r="100" spans="1:14" ht="13" hidden="1" x14ac:dyDescent="0.6">
      <c r="A100" s="1" t="s">
        <v>119</v>
      </c>
      <c r="B100" s="1" t="s">
        <v>11</v>
      </c>
      <c r="C100" s="1" t="s">
        <v>11</v>
      </c>
      <c r="D100" s="1">
        <v>0.99902000000000002</v>
      </c>
      <c r="E100" s="1">
        <v>0</v>
      </c>
      <c r="F100" s="1">
        <v>0</v>
      </c>
      <c r="G100" s="1">
        <v>0</v>
      </c>
      <c r="H100" s="1">
        <v>0</v>
      </c>
      <c r="I100" s="1">
        <v>9.7999999999999997E-4</v>
      </c>
      <c r="J100" s="1" t="s">
        <v>12</v>
      </c>
      <c r="K100" t="str">
        <f>VLOOKUP(A100,metadata!A:I,9,FALSE)</f>
        <v>IA</v>
      </c>
      <c r="L100" t="str">
        <f>VLOOKUP(A100,metadata!A:F,6,FALSE)</f>
        <v>NA</v>
      </c>
      <c r="M100" t="str">
        <f>VLOOKUP(A100,metadata!A:D,4,FALSE)</f>
        <v>NA</v>
      </c>
      <c r="N100" t="str">
        <f>VLOOKUP(A100,metadata!A:E,5,FALSE)</f>
        <v>NA</v>
      </c>
    </row>
    <row r="101" spans="1:14" ht="13" hidden="1" x14ac:dyDescent="0.6">
      <c r="A101" s="1" t="s">
        <v>120</v>
      </c>
      <c r="B101" s="1" t="s">
        <v>11</v>
      </c>
      <c r="C101" s="1" t="s">
        <v>57</v>
      </c>
      <c r="D101" s="1">
        <v>0.16664999999999999</v>
      </c>
      <c r="E101" s="1">
        <v>0</v>
      </c>
      <c r="F101" s="1">
        <v>0</v>
      </c>
      <c r="G101" s="1">
        <v>0</v>
      </c>
      <c r="H101" s="1">
        <v>2.5360000000000001E-2</v>
      </c>
      <c r="I101" s="1">
        <v>0.80798999999999999</v>
      </c>
      <c r="J101" s="1" t="s">
        <v>58</v>
      </c>
      <c r="K101" t="str">
        <f>VLOOKUP(A101,metadata!A:I,9,FALSE)</f>
        <v>IL</v>
      </c>
      <c r="L101" t="str">
        <f>VLOOKUP(A101,metadata!A:F,6,FALSE)</f>
        <v>NA</v>
      </c>
      <c r="M101" t="str">
        <f>VLOOKUP(A101,metadata!A:D,4,FALSE)</f>
        <v>NA</v>
      </c>
      <c r="N101" t="str">
        <f>VLOOKUP(A101,metadata!A:E,5,FALSE)</f>
        <v>NA</v>
      </c>
    </row>
    <row r="102" spans="1:14" ht="13" hidden="1" x14ac:dyDescent="0.6">
      <c r="A102" s="1" t="s">
        <v>121</v>
      </c>
      <c r="B102" s="1" t="s">
        <v>11</v>
      </c>
      <c r="C102" s="1" t="s">
        <v>11</v>
      </c>
      <c r="D102" s="1">
        <v>0.99690000000000001</v>
      </c>
      <c r="E102" s="1">
        <v>0</v>
      </c>
      <c r="F102" s="1">
        <v>0</v>
      </c>
      <c r="G102" s="1">
        <v>0</v>
      </c>
      <c r="H102" s="1">
        <v>0</v>
      </c>
      <c r="I102" s="1">
        <v>3.0999999999999999E-3</v>
      </c>
      <c r="J102" s="1" t="s">
        <v>12</v>
      </c>
      <c r="K102" t="str">
        <f>VLOOKUP(A102,metadata!A:I,9,FALSE)</f>
        <v>MO</v>
      </c>
      <c r="L102" t="str">
        <f>VLOOKUP(A102,metadata!A:F,6,FALSE)</f>
        <v>NA</v>
      </c>
      <c r="M102" t="str">
        <f>VLOOKUP(A102,metadata!A:D,4,FALSE)</f>
        <v>NA</v>
      </c>
      <c r="N102" t="str">
        <f>VLOOKUP(A102,metadata!A:E,5,FALSE)</f>
        <v>NA</v>
      </c>
    </row>
    <row r="103" spans="1:14" ht="13" x14ac:dyDescent="0.6">
      <c r="A103" s="1" t="s">
        <v>122</v>
      </c>
      <c r="B103" s="1" t="s">
        <v>11</v>
      </c>
      <c r="C103" s="1" t="s">
        <v>11</v>
      </c>
      <c r="D103" s="1">
        <v>0.99709000000000003</v>
      </c>
      <c r="E103" s="1">
        <v>0</v>
      </c>
      <c r="F103" s="1">
        <v>0</v>
      </c>
      <c r="G103" s="1">
        <v>0</v>
      </c>
      <c r="H103" s="1">
        <v>0</v>
      </c>
      <c r="I103" s="1">
        <v>2.9099999999999998E-3</v>
      </c>
      <c r="J103" s="1" t="s">
        <v>12</v>
      </c>
      <c r="K103" t="str">
        <f>VLOOKUP(A103,metadata!A:I,9,FALSE)</f>
        <v>OK</v>
      </c>
      <c r="L103" t="str">
        <f>VLOOKUP(A103,metadata!A:F,6,FALSE)</f>
        <v>NA</v>
      </c>
      <c r="M103" t="str">
        <f>VLOOKUP(A103,metadata!A:D,4,FALSE)</f>
        <v>NA</v>
      </c>
      <c r="N103" t="str">
        <f>VLOOKUP(A103,metadata!A:E,5,FALSE)</f>
        <v>NA</v>
      </c>
    </row>
    <row r="104" spans="1:14" ht="13" x14ac:dyDescent="0.6">
      <c r="A104" s="1" t="s">
        <v>123</v>
      </c>
      <c r="B104" s="1" t="s">
        <v>11</v>
      </c>
      <c r="C104" s="1" t="s">
        <v>11</v>
      </c>
      <c r="D104" s="1">
        <v>0.99612999999999996</v>
      </c>
      <c r="E104" s="1">
        <v>0</v>
      </c>
      <c r="F104" s="1">
        <v>0</v>
      </c>
      <c r="G104" s="1">
        <v>0</v>
      </c>
      <c r="H104" s="1">
        <v>0</v>
      </c>
      <c r="I104" s="1">
        <v>3.8700000000000002E-3</v>
      </c>
      <c r="J104" s="1" t="s">
        <v>12</v>
      </c>
      <c r="K104" t="str">
        <f>VLOOKUP(A104,metadata!A:I,9,FALSE)</f>
        <v>OK</v>
      </c>
      <c r="L104" t="str">
        <f>VLOOKUP(A104,metadata!A:F,6,FALSE)</f>
        <v>NA</v>
      </c>
      <c r="M104" t="str">
        <f>VLOOKUP(A104,metadata!A:D,4,FALSE)</f>
        <v>NA</v>
      </c>
      <c r="N104" t="str">
        <f>VLOOKUP(A104,metadata!A:E,5,FALSE)</f>
        <v>NA</v>
      </c>
    </row>
    <row r="105" spans="1:14" ht="13" hidden="1" x14ac:dyDescent="0.6">
      <c r="A105" s="1" t="s">
        <v>124</v>
      </c>
      <c r="B105" s="1" t="s">
        <v>11</v>
      </c>
      <c r="C105" s="1" t="s">
        <v>11</v>
      </c>
      <c r="D105" s="1">
        <v>0.99939999999999996</v>
      </c>
      <c r="E105" s="1">
        <v>0</v>
      </c>
      <c r="F105" s="1">
        <v>0</v>
      </c>
      <c r="G105" s="1">
        <v>0</v>
      </c>
      <c r="H105" s="1">
        <v>0</v>
      </c>
      <c r="I105" s="2">
        <v>5.9999999999999995E-4</v>
      </c>
      <c r="J105" s="1" t="s">
        <v>12</v>
      </c>
      <c r="K105" t="str">
        <f>VLOOKUP(A105,metadata!A:I,9,FALSE)</f>
        <v>OH</v>
      </c>
      <c r="L105" t="str">
        <f>VLOOKUP(A105,metadata!A:F,6,FALSE)</f>
        <v>NA</v>
      </c>
      <c r="M105" t="str">
        <f>VLOOKUP(A105,metadata!A:D,4,FALSE)</f>
        <v>NA</v>
      </c>
      <c r="N105" t="str">
        <f>VLOOKUP(A105,metadata!A:E,5,FALSE)</f>
        <v>NA</v>
      </c>
    </row>
    <row r="106" spans="1:14" ht="13" hidden="1" x14ac:dyDescent="0.6">
      <c r="A106" s="1" t="s">
        <v>125</v>
      </c>
      <c r="B106" s="1" t="s">
        <v>11</v>
      </c>
      <c r="C106" s="1" t="s">
        <v>11</v>
      </c>
      <c r="D106" s="1">
        <v>0.99267000000000005</v>
      </c>
      <c r="E106" s="1">
        <v>0</v>
      </c>
      <c r="F106" s="1">
        <v>0</v>
      </c>
      <c r="G106" s="1">
        <v>0</v>
      </c>
      <c r="H106" s="1">
        <v>0</v>
      </c>
      <c r="I106" s="1">
        <v>7.3299999999999997E-3</v>
      </c>
      <c r="J106" s="1" t="s">
        <v>12</v>
      </c>
      <c r="K106" t="str">
        <f>VLOOKUP(A106,metadata!A:I,9,FALSE)</f>
        <v>Saskatchewan</v>
      </c>
      <c r="L106" t="str">
        <f>VLOOKUP(A106,metadata!A:F,6,FALSE)</f>
        <v>NA</v>
      </c>
      <c r="M106" t="str">
        <f>VLOOKUP(A106,metadata!A:D,4,FALSE)</f>
        <v>NA</v>
      </c>
      <c r="N106" t="str">
        <f>VLOOKUP(A106,metadata!A:E,5,FALSE)</f>
        <v>NA</v>
      </c>
    </row>
    <row r="107" spans="1:14" ht="13" hidden="1" x14ac:dyDescent="0.6">
      <c r="A107" s="1" t="s">
        <v>126</v>
      </c>
      <c r="B107" s="1" t="s">
        <v>11</v>
      </c>
      <c r="C107" s="1" t="s">
        <v>11</v>
      </c>
      <c r="D107" s="1">
        <v>0.99929999999999997</v>
      </c>
      <c r="E107" s="1">
        <v>0</v>
      </c>
      <c r="F107" s="1">
        <v>0</v>
      </c>
      <c r="G107" s="1">
        <v>0</v>
      </c>
      <c r="H107" s="1">
        <v>0</v>
      </c>
      <c r="I107" s="2">
        <v>6.9999999999999999E-4</v>
      </c>
      <c r="J107" s="1" t="s">
        <v>12</v>
      </c>
      <c r="K107" t="str">
        <f>VLOOKUP(A107,metadata!A:I,9,FALSE)</f>
        <v>NA</v>
      </c>
      <c r="L107" t="str">
        <f>VLOOKUP(A107,metadata!A:F,6,FALSE)</f>
        <v>NA</v>
      </c>
      <c r="M107" t="str">
        <f>VLOOKUP(A107,metadata!A:D,4,FALSE)</f>
        <v>NA</v>
      </c>
      <c r="N107" t="str">
        <f>VLOOKUP(A107,metadata!A:E,5,FALSE)</f>
        <v>NA</v>
      </c>
    </row>
    <row r="108" spans="1:14" ht="13" hidden="1" x14ac:dyDescent="0.6">
      <c r="A108" s="1" t="s">
        <v>127</v>
      </c>
      <c r="B108" s="1" t="s">
        <v>11</v>
      </c>
      <c r="C108" s="1" t="s">
        <v>11</v>
      </c>
      <c r="D108" s="1">
        <v>0.98990999999999996</v>
      </c>
      <c r="E108" s="1">
        <v>0</v>
      </c>
      <c r="F108" s="1">
        <v>0</v>
      </c>
      <c r="G108" s="1">
        <v>0</v>
      </c>
      <c r="H108" s="2">
        <v>1.0000000000000001E-5</v>
      </c>
      <c r="I108" s="1">
        <v>1.008E-2</v>
      </c>
      <c r="J108" s="1" t="s">
        <v>12</v>
      </c>
      <c r="K108" t="str">
        <f>VLOOKUP(A108,metadata!A:I,9,FALSE)</f>
        <v>NA</v>
      </c>
      <c r="L108" t="str">
        <f>VLOOKUP(A108,metadata!A:F,6,FALSE)</f>
        <v>NA</v>
      </c>
      <c r="M108" t="str">
        <f>VLOOKUP(A108,metadata!A:D,4,FALSE)</f>
        <v>NA</v>
      </c>
      <c r="N108" t="str">
        <f>VLOOKUP(A108,metadata!A:E,5,FALSE)</f>
        <v>NA</v>
      </c>
    </row>
    <row r="109" spans="1:14" ht="13" hidden="1" x14ac:dyDescent="0.6">
      <c r="A109" s="1" t="s">
        <v>128</v>
      </c>
      <c r="B109" s="1" t="s">
        <v>11</v>
      </c>
      <c r="C109" s="1" t="s">
        <v>57</v>
      </c>
      <c r="D109" s="1">
        <v>0.56581999999999999</v>
      </c>
      <c r="E109" s="1">
        <v>0</v>
      </c>
      <c r="F109" s="1">
        <v>0</v>
      </c>
      <c r="G109" s="1">
        <v>0</v>
      </c>
      <c r="H109" s="1">
        <v>3.1E-4</v>
      </c>
      <c r="I109" s="1">
        <v>0.43386000000000002</v>
      </c>
      <c r="J109" s="1" t="s">
        <v>58</v>
      </c>
      <c r="K109" t="str">
        <f>VLOOKUP(A109,metadata!A:I,9,FALSE)</f>
        <v>NA</v>
      </c>
      <c r="L109" t="str">
        <f>VLOOKUP(A109,metadata!A:F,6,FALSE)</f>
        <v>NA</v>
      </c>
      <c r="M109" t="str">
        <f>VLOOKUP(A109,metadata!A:D,4,FALSE)</f>
        <v>NA</v>
      </c>
      <c r="N109" t="str">
        <f>VLOOKUP(A109,metadata!A:E,5,FALSE)</f>
        <v>NA</v>
      </c>
    </row>
    <row r="110" spans="1:14" ht="13" hidden="1" x14ac:dyDescent="0.6">
      <c r="A110" s="1" t="s">
        <v>129</v>
      </c>
      <c r="B110" s="1" t="s">
        <v>11</v>
      </c>
      <c r="C110" s="1" t="s">
        <v>11</v>
      </c>
      <c r="D110" s="1">
        <v>0.98316000000000003</v>
      </c>
      <c r="E110" s="1">
        <v>0</v>
      </c>
      <c r="F110" s="1">
        <v>0</v>
      </c>
      <c r="G110" s="1">
        <v>0</v>
      </c>
      <c r="H110" s="2">
        <v>2.0000000000000002E-5</v>
      </c>
      <c r="I110" s="1">
        <v>1.6809999999999999E-2</v>
      </c>
      <c r="J110" s="1" t="s">
        <v>12</v>
      </c>
      <c r="K110" t="str">
        <f>VLOOKUP(A110,metadata!A:I,9,FALSE)</f>
        <v>NA</v>
      </c>
      <c r="L110" t="str">
        <f>VLOOKUP(A110,metadata!A:F,6,FALSE)</f>
        <v>NA</v>
      </c>
      <c r="M110" t="str">
        <f>VLOOKUP(A110,metadata!A:D,4,FALSE)</f>
        <v>NA</v>
      </c>
      <c r="N110" t="str">
        <f>VLOOKUP(A110,metadata!A:E,5,FALSE)</f>
        <v>NA</v>
      </c>
    </row>
    <row r="111" spans="1:14" ht="13" hidden="1" x14ac:dyDescent="0.6">
      <c r="A111" s="1" t="s">
        <v>130</v>
      </c>
      <c r="B111" s="1" t="s">
        <v>11</v>
      </c>
      <c r="C111" s="1" t="s">
        <v>11</v>
      </c>
      <c r="D111" s="1">
        <v>0.94998000000000005</v>
      </c>
      <c r="E111" s="1">
        <v>0</v>
      </c>
      <c r="F111" s="1">
        <v>0</v>
      </c>
      <c r="G111" s="1">
        <v>0</v>
      </c>
      <c r="H111" s="1">
        <v>2.3000000000000001E-4</v>
      </c>
      <c r="I111" s="1">
        <v>4.9779999999999998E-2</v>
      </c>
      <c r="J111" s="1" t="s">
        <v>12</v>
      </c>
      <c r="K111" t="str">
        <f>VLOOKUP(A111,metadata!A:I,9,FALSE)</f>
        <v>IL</v>
      </c>
      <c r="L111" t="str">
        <f>VLOOKUP(A111,metadata!A:F,6,FALSE)</f>
        <v>StarhillIL</v>
      </c>
      <c r="M111">
        <f>VLOOKUP(A111,metadata!A:D,4,FALSE)</f>
        <v>39.935490000000001</v>
      </c>
      <c r="N111">
        <f>VLOOKUP(A111,metadata!A:E,5,FALSE)</f>
        <v>-89.80068</v>
      </c>
    </row>
    <row r="112" spans="1:14" ht="13" hidden="1" x14ac:dyDescent="0.6">
      <c r="A112" s="1" t="s">
        <v>131</v>
      </c>
      <c r="B112" s="1" t="s">
        <v>11</v>
      </c>
      <c r="C112" s="1" t="s">
        <v>11</v>
      </c>
      <c r="D112" s="1">
        <v>0.99875999999999998</v>
      </c>
      <c r="E112" s="1">
        <v>0</v>
      </c>
      <c r="F112" s="1">
        <v>0</v>
      </c>
      <c r="G112" s="1">
        <v>0</v>
      </c>
      <c r="H112" s="1">
        <v>0</v>
      </c>
      <c r="I112" s="1">
        <v>1.24E-3</v>
      </c>
      <c r="J112" s="1" t="s">
        <v>12</v>
      </c>
      <c r="K112" t="str">
        <f>VLOOKUP(A112,metadata!A:I,9,FALSE)</f>
        <v>NA</v>
      </c>
      <c r="L112" t="str">
        <f>VLOOKUP(A112,metadata!A:F,6,FALSE)</f>
        <v>NA</v>
      </c>
      <c r="M112" t="str">
        <f>VLOOKUP(A112,metadata!A:D,4,FALSE)</f>
        <v>NA</v>
      </c>
      <c r="N112" t="str">
        <f>VLOOKUP(A112,metadata!A:E,5,FALSE)</f>
        <v>NA</v>
      </c>
    </row>
    <row r="113" spans="1:14" ht="13" hidden="1" x14ac:dyDescent="0.6">
      <c r="A113" s="1" t="s">
        <v>132</v>
      </c>
      <c r="B113" s="1" t="s">
        <v>11</v>
      </c>
      <c r="C113" s="1" t="s">
        <v>11</v>
      </c>
      <c r="D113" s="1">
        <v>0.99095</v>
      </c>
      <c r="E113" s="1">
        <v>0</v>
      </c>
      <c r="F113" s="1">
        <v>0</v>
      </c>
      <c r="G113" s="1">
        <v>0</v>
      </c>
      <c r="H113" s="2">
        <v>1.0000000000000001E-5</v>
      </c>
      <c r="I113" s="1">
        <v>9.0500000000000008E-3</v>
      </c>
      <c r="J113" s="1" t="s">
        <v>12</v>
      </c>
      <c r="K113" t="str">
        <f>VLOOKUP(A113,metadata!A:I,9,FALSE)</f>
        <v>KS</v>
      </c>
      <c r="L113" t="str">
        <f>VLOOKUP(A113,metadata!A:F,6,FALSE)</f>
        <v>NA</v>
      </c>
      <c r="M113" t="str">
        <f>VLOOKUP(A113,metadata!A:D,4,FALSE)</f>
        <v>NA</v>
      </c>
      <c r="N113" t="str">
        <f>VLOOKUP(A113,metadata!A:E,5,FALSE)</f>
        <v>NA</v>
      </c>
    </row>
    <row r="114" spans="1:14" ht="13" hidden="1" x14ac:dyDescent="0.6">
      <c r="A114" s="1" t="s">
        <v>133</v>
      </c>
      <c r="B114" s="1" t="s">
        <v>54</v>
      </c>
      <c r="C114" s="1" t="s">
        <v>54</v>
      </c>
      <c r="D114" s="1">
        <v>0.99933000000000005</v>
      </c>
      <c r="E114" s="1">
        <v>0</v>
      </c>
      <c r="F114" s="1">
        <v>0</v>
      </c>
      <c r="G114" s="1">
        <v>0</v>
      </c>
      <c r="H114" s="1">
        <v>0</v>
      </c>
      <c r="I114" s="1">
        <v>6.7000000000000002E-4</v>
      </c>
      <c r="J114" s="1" t="s">
        <v>12</v>
      </c>
      <c r="K114" t="str">
        <f>VLOOKUP(A114,metadata!A:I,9,FALSE)</f>
        <v>WI</v>
      </c>
      <c r="L114" t="str">
        <f>VLOOKUP(A114,metadata!A:F,6,FALSE)</f>
        <v>PleasantValleyWI</v>
      </c>
      <c r="M114">
        <f>VLOOKUP(A114,metadata!A:D,4,FALSE)</f>
        <v>43.106610000000003</v>
      </c>
      <c r="N114">
        <f>VLOOKUP(A114,metadata!A:E,5,FALSE)</f>
        <v>-89.804349999999999</v>
      </c>
    </row>
    <row r="115" spans="1:14" ht="13" hidden="1" x14ac:dyDescent="0.6">
      <c r="A115" s="1" t="s">
        <v>134</v>
      </c>
      <c r="B115" s="1" t="s">
        <v>11</v>
      </c>
      <c r="C115" s="1" t="s">
        <v>11</v>
      </c>
      <c r="D115" s="1">
        <v>0.99709000000000003</v>
      </c>
      <c r="E115" s="1">
        <v>0</v>
      </c>
      <c r="F115" s="1">
        <v>0</v>
      </c>
      <c r="G115" s="1">
        <v>0</v>
      </c>
      <c r="H115" s="1">
        <v>0</v>
      </c>
      <c r="I115" s="1">
        <v>2.9099999999999998E-3</v>
      </c>
      <c r="J115" s="1" t="s">
        <v>12</v>
      </c>
      <c r="K115" t="str">
        <f>VLOOKUP(A115,metadata!A:I,9,FALSE)</f>
        <v>WI</v>
      </c>
      <c r="L115" t="str">
        <f>VLOOKUP(A115,metadata!A:F,6,FALSE)</f>
        <v>PleasantValleyWI</v>
      </c>
      <c r="M115">
        <f>VLOOKUP(A115,metadata!A:D,4,FALSE)</f>
        <v>43.10698</v>
      </c>
      <c r="N115">
        <f>VLOOKUP(A115,metadata!A:E,5,FALSE)</f>
        <v>-89.808250000000001</v>
      </c>
    </row>
    <row r="116" spans="1:14" ht="13" hidden="1" x14ac:dyDescent="0.6">
      <c r="A116" s="1" t="s">
        <v>135</v>
      </c>
      <c r="B116" s="1" t="s">
        <v>11</v>
      </c>
      <c r="C116" s="1" t="s">
        <v>11</v>
      </c>
      <c r="D116" s="1">
        <v>0.99909999999999999</v>
      </c>
      <c r="E116" s="1">
        <v>0</v>
      </c>
      <c r="F116" s="1">
        <v>0</v>
      </c>
      <c r="G116" s="1">
        <v>0</v>
      </c>
      <c r="H116" s="1">
        <v>0</v>
      </c>
      <c r="I116" s="2">
        <v>8.9999999999999998E-4</v>
      </c>
      <c r="J116" s="1" t="s">
        <v>12</v>
      </c>
      <c r="K116" t="str">
        <f>VLOOKUP(A116,metadata!A:I,9,FALSE)</f>
        <v>IA</v>
      </c>
      <c r="L116" t="str">
        <f>VLOOKUP(A116,metadata!A:F,6,FALSE)</f>
        <v>CedarRapidsIA</v>
      </c>
      <c r="M116">
        <f>VLOOKUP(A116,metadata!A:D,4,FALSE)</f>
        <v>41.973599999999998</v>
      </c>
      <c r="N116">
        <f>VLOOKUP(A116,metadata!A:E,5,FALSE)</f>
        <v>-91.7239</v>
      </c>
    </row>
    <row r="117" spans="1:14" ht="13" hidden="1" x14ac:dyDescent="0.6">
      <c r="A117" s="1" t="s">
        <v>136</v>
      </c>
      <c r="B117" s="1" t="s">
        <v>11</v>
      </c>
      <c r="C117" s="1" t="s">
        <v>11</v>
      </c>
      <c r="D117" s="1">
        <v>0.99746999999999997</v>
      </c>
      <c r="E117" s="1">
        <v>0</v>
      </c>
      <c r="F117" s="1">
        <v>0</v>
      </c>
      <c r="G117" s="1">
        <v>0</v>
      </c>
      <c r="H117" s="1">
        <v>0</v>
      </c>
      <c r="I117" s="1">
        <v>2.5300000000000001E-3</v>
      </c>
      <c r="J117" s="1" t="s">
        <v>12</v>
      </c>
      <c r="K117" t="str">
        <f>VLOOKUP(A117,metadata!A:I,9,FALSE)</f>
        <v>IA</v>
      </c>
      <c r="L117" t="str">
        <f>VLOOKUP(A117,metadata!A:F,6,FALSE)</f>
        <v>AmesIA</v>
      </c>
      <c r="M117">
        <f>VLOOKUP(A117,metadata!A:D,4,FALSE)</f>
        <v>42.030329999999999</v>
      </c>
      <c r="N117">
        <f>VLOOKUP(A117,metadata!A:E,5,FALSE)</f>
        <v>-93.632000000000005</v>
      </c>
    </row>
    <row r="118" spans="1:14" ht="13" hidden="1" x14ac:dyDescent="0.6">
      <c r="A118" s="1" t="s">
        <v>137</v>
      </c>
      <c r="B118" s="1" t="s">
        <v>11</v>
      </c>
      <c r="C118" s="1" t="s">
        <v>138</v>
      </c>
      <c r="D118" s="1">
        <v>0.87502999999999997</v>
      </c>
      <c r="E118" s="1">
        <v>0</v>
      </c>
      <c r="F118" s="1">
        <v>0</v>
      </c>
      <c r="G118" s="1">
        <v>0</v>
      </c>
      <c r="H118" s="1">
        <v>6.5500000000000003E-3</v>
      </c>
      <c r="I118" s="1">
        <v>0.11842</v>
      </c>
      <c r="J118" s="1" t="s">
        <v>58</v>
      </c>
      <c r="K118" t="str">
        <f>VLOOKUP(A118,metadata!A:I,9,FALSE)</f>
        <v>IA</v>
      </c>
      <c r="L118" t="str">
        <f>VLOOKUP(A118,metadata!A:F,6,FALSE)</f>
        <v>AmesIA</v>
      </c>
      <c r="M118">
        <f>VLOOKUP(A118,metadata!A:D,4,FALSE)</f>
        <v>42.042110000000001</v>
      </c>
      <c r="N118">
        <f>VLOOKUP(A118,metadata!A:E,5,FALSE)</f>
        <v>-93.606189999999998</v>
      </c>
    </row>
    <row r="119" spans="1:14" ht="13" hidden="1" x14ac:dyDescent="0.6">
      <c r="A119" s="1" t="s">
        <v>139</v>
      </c>
      <c r="B119" s="1" t="s">
        <v>11</v>
      </c>
      <c r="C119" s="1" t="s">
        <v>11</v>
      </c>
      <c r="D119" s="1">
        <v>0.99951000000000001</v>
      </c>
      <c r="E119" s="1">
        <v>0</v>
      </c>
      <c r="F119" s="1">
        <v>0</v>
      </c>
      <c r="G119" s="1">
        <v>0</v>
      </c>
      <c r="H119" s="1">
        <v>0</v>
      </c>
      <c r="I119" s="1">
        <v>4.8999999999999998E-4</v>
      </c>
      <c r="J119" s="1" t="s">
        <v>12</v>
      </c>
      <c r="K119" t="str">
        <f>VLOOKUP(A119,metadata!A:I,9,FALSE)</f>
        <v>IA</v>
      </c>
      <c r="L119" t="str">
        <f>VLOOKUP(A119,metadata!A:F,6,FALSE)</f>
        <v>BonaparteIA</v>
      </c>
      <c r="M119">
        <f>VLOOKUP(A119,metadata!A:D,4,FALSE)</f>
        <v>40.705599999999997</v>
      </c>
      <c r="N119">
        <f>VLOOKUP(A119,metadata!A:E,5,FALSE)</f>
        <v>-91.794160000000005</v>
      </c>
    </row>
    <row r="120" spans="1:14" ht="13" hidden="1" x14ac:dyDescent="0.6">
      <c r="A120" s="1" t="s">
        <v>140</v>
      </c>
      <c r="B120" s="1" t="s">
        <v>54</v>
      </c>
      <c r="C120" s="1" t="s">
        <v>54</v>
      </c>
      <c r="D120" s="1">
        <v>0.99966999999999995</v>
      </c>
      <c r="E120" s="1">
        <v>0</v>
      </c>
      <c r="F120" s="1">
        <v>0</v>
      </c>
      <c r="G120" s="1">
        <v>0</v>
      </c>
      <c r="H120" s="1">
        <v>0</v>
      </c>
      <c r="I120" s="1">
        <v>3.2000000000000003E-4</v>
      </c>
      <c r="J120" s="1" t="s">
        <v>12</v>
      </c>
      <c r="K120" t="str">
        <f>VLOOKUP(A120,metadata!A:I,9,FALSE)</f>
        <v>IA</v>
      </c>
      <c r="L120" t="str">
        <f>VLOOKUP(A120,metadata!A:F,6,FALSE)</f>
        <v>BonaparteIA</v>
      </c>
      <c r="M120">
        <f>VLOOKUP(A120,metadata!A:D,4,FALSE)</f>
        <v>40.706249999999997</v>
      </c>
      <c r="N120">
        <f>VLOOKUP(A120,metadata!A:E,5,FALSE)</f>
        <v>-91.79392</v>
      </c>
    </row>
    <row r="121" spans="1:14" ht="13" hidden="1" x14ac:dyDescent="0.6">
      <c r="A121" s="1" t="s">
        <v>141</v>
      </c>
      <c r="B121" s="1" t="s">
        <v>96</v>
      </c>
      <c r="C121" s="1" t="s">
        <v>96</v>
      </c>
      <c r="D121" s="1">
        <v>0.99853999999999998</v>
      </c>
      <c r="E121" s="1">
        <v>0</v>
      </c>
      <c r="F121" s="1">
        <v>0</v>
      </c>
      <c r="G121" s="1">
        <v>0</v>
      </c>
      <c r="H121" s="2">
        <v>3.0000000000000001E-5</v>
      </c>
      <c r="I121" s="1">
        <v>1.4300000000000001E-3</v>
      </c>
      <c r="J121" s="1" t="s">
        <v>12</v>
      </c>
      <c r="K121" t="str">
        <f>VLOOKUP(A121,metadata!A:I,9,FALSE)</f>
        <v>IA</v>
      </c>
      <c r="L121" t="str">
        <f>VLOOKUP(A121,metadata!A:F,6,FALSE)</f>
        <v>BonaparteIA</v>
      </c>
      <c r="M121">
        <f>VLOOKUP(A121,metadata!A:D,4,FALSE)</f>
        <v>40.704810000000002</v>
      </c>
      <c r="N121">
        <f>VLOOKUP(A121,metadata!A:E,5,FALSE)</f>
        <v>-91.79589</v>
      </c>
    </row>
    <row r="122" spans="1:14" ht="13" hidden="1" x14ac:dyDescent="0.6">
      <c r="A122" s="1" t="s">
        <v>142</v>
      </c>
      <c r="B122" s="1" t="s">
        <v>43</v>
      </c>
      <c r="C122" s="1" t="s">
        <v>43</v>
      </c>
      <c r="D122" s="1">
        <v>0.99961999999999995</v>
      </c>
      <c r="E122" s="1">
        <v>0</v>
      </c>
      <c r="F122" s="1">
        <v>0</v>
      </c>
      <c r="G122" s="1">
        <v>0</v>
      </c>
      <c r="H122" s="1">
        <v>0</v>
      </c>
      <c r="I122" s="1">
        <v>3.8000000000000002E-4</v>
      </c>
      <c r="J122" s="1" t="s">
        <v>12</v>
      </c>
      <c r="K122" t="str">
        <f>VLOOKUP(A122,metadata!A:I,9,FALSE)</f>
        <v>MO</v>
      </c>
      <c r="L122" t="str">
        <f>VLOOKUP(A122,metadata!A:F,6,FALSE)</f>
        <v>HaHaTonkaMO</v>
      </c>
      <c r="M122">
        <f>VLOOKUP(A122,metadata!A:D,4,FALSE)</f>
        <v>37.972909999999999</v>
      </c>
      <c r="N122">
        <f>VLOOKUP(A122,metadata!A:E,5,FALSE)</f>
        <v>-92.762169999999998</v>
      </c>
    </row>
    <row r="123" spans="1:14" ht="13" hidden="1" x14ac:dyDescent="0.6">
      <c r="A123" s="1" t="s">
        <v>143</v>
      </c>
      <c r="B123" s="1" t="s">
        <v>96</v>
      </c>
      <c r="C123" s="1" t="s">
        <v>96</v>
      </c>
      <c r="D123" s="1">
        <v>0.99760000000000004</v>
      </c>
      <c r="E123" s="1">
        <v>0</v>
      </c>
      <c r="F123" s="1">
        <v>0</v>
      </c>
      <c r="G123" s="1">
        <v>0</v>
      </c>
      <c r="H123" s="2">
        <v>6.9999999999999994E-5</v>
      </c>
      <c r="I123" s="1">
        <v>2.33E-3</v>
      </c>
      <c r="J123" s="1" t="s">
        <v>12</v>
      </c>
      <c r="K123" t="str">
        <f>VLOOKUP(A123,metadata!A:I,9,FALSE)</f>
        <v>MO</v>
      </c>
      <c r="L123" t="str">
        <f>VLOOKUP(A123,metadata!A:F,6,FALSE)</f>
        <v>HaHaTonkaMO</v>
      </c>
      <c r="M123">
        <f>VLOOKUP(A123,metadata!A:D,4,FALSE)</f>
        <v>37.972999999999999</v>
      </c>
      <c r="N123">
        <f>VLOOKUP(A123,metadata!A:E,5,FALSE)</f>
        <v>-92.762169999999998</v>
      </c>
    </row>
    <row r="124" spans="1:14" ht="13" hidden="1" x14ac:dyDescent="0.6">
      <c r="A124" s="1" t="s">
        <v>144</v>
      </c>
      <c r="B124" s="1" t="s">
        <v>54</v>
      </c>
      <c r="C124" s="1" t="s">
        <v>20</v>
      </c>
      <c r="D124" s="1">
        <v>0</v>
      </c>
      <c r="E124" s="1">
        <v>0</v>
      </c>
      <c r="F124" s="1">
        <v>0</v>
      </c>
      <c r="G124" s="1">
        <v>2.7E-4</v>
      </c>
      <c r="H124" s="1">
        <v>0.74614000000000003</v>
      </c>
      <c r="I124" s="1">
        <v>0.25358999999999998</v>
      </c>
      <c r="J124" s="1" t="s">
        <v>145</v>
      </c>
      <c r="K124" t="str">
        <f>VLOOKUP(A124,metadata!A:I,9,FALSE)</f>
        <v>MO</v>
      </c>
      <c r="L124" t="str">
        <f>VLOOKUP(A124,metadata!A:F,6,FALSE)</f>
        <v>HaHaTonkaMO</v>
      </c>
      <c r="M124">
        <f>VLOOKUP(A124,metadata!A:D,4,FALSE)</f>
        <v>37.97316</v>
      </c>
      <c r="N124">
        <f>VLOOKUP(A124,metadata!A:E,5,FALSE)</f>
        <v>-92.762270000000001</v>
      </c>
    </row>
    <row r="125" spans="1:14" ht="13" hidden="1" x14ac:dyDescent="0.6">
      <c r="A125" s="1" t="s">
        <v>146</v>
      </c>
      <c r="B125" s="1" t="s">
        <v>54</v>
      </c>
      <c r="C125" s="1" t="s">
        <v>54</v>
      </c>
      <c r="D125" s="1">
        <v>0.99839999999999995</v>
      </c>
      <c r="E125" s="1">
        <v>0</v>
      </c>
      <c r="F125" s="1">
        <v>0</v>
      </c>
      <c r="G125" s="1">
        <v>0</v>
      </c>
      <c r="H125" s="1">
        <v>1.1E-4</v>
      </c>
      <c r="I125" s="1">
        <v>1.49E-3</v>
      </c>
      <c r="J125" s="1" t="s">
        <v>12</v>
      </c>
      <c r="K125" t="str">
        <f>VLOOKUP(A125,metadata!A:I,9,FALSE)</f>
        <v>MO</v>
      </c>
      <c r="L125" t="str">
        <f>VLOOKUP(A125,metadata!A:F,6,FALSE)</f>
        <v>HaHaTonkaMO</v>
      </c>
      <c r="M125">
        <f>VLOOKUP(A125,metadata!A:D,4,FALSE)</f>
        <v>37.974139999999998</v>
      </c>
      <c r="N125">
        <f>VLOOKUP(A125,metadata!A:E,5,FALSE)</f>
        <v>-92.762659999999997</v>
      </c>
    </row>
    <row r="126" spans="1:14" ht="13" x14ac:dyDescent="0.6">
      <c r="A126" s="1" t="s">
        <v>147</v>
      </c>
      <c r="B126" s="1" t="s">
        <v>43</v>
      </c>
      <c r="C126" s="1" t="s">
        <v>43</v>
      </c>
      <c r="D126" s="1">
        <v>0.99963999999999997</v>
      </c>
      <c r="E126" s="1">
        <v>0</v>
      </c>
      <c r="F126" s="1">
        <v>0</v>
      </c>
      <c r="G126" s="1">
        <v>0</v>
      </c>
      <c r="H126" s="1">
        <v>0</v>
      </c>
      <c r="I126" s="1">
        <v>3.6000000000000002E-4</v>
      </c>
      <c r="J126" s="1" t="s">
        <v>12</v>
      </c>
      <c r="K126" t="str">
        <f>VLOOKUP(A126,metadata!A:I,9,FALSE)</f>
        <v>OK</v>
      </c>
      <c r="L126" t="str">
        <f>VLOOKUP(A126,metadata!A:F,6,FALSE)</f>
        <v>PawhuskaOK</v>
      </c>
      <c r="M126">
        <f>VLOOKUP(A126,metadata!A:D,4,FALSE)</f>
        <v>36.849139999999998</v>
      </c>
      <c r="N126">
        <f>VLOOKUP(A126,metadata!A:E,5,FALSE)</f>
        <v>-96.415199999999999</v>
      </c>
    </row>
    <row r="127" spans="1:14" ht="13" x14ac:dyDescent="0.6">
      <c r="A127" s="1" t="s">
        <v>148</v>
      </c>
      <c r="B127" s="1" t="s">
        <v>11</v>
      </c>
      <c r="C127" s="1" t="s">
        <v>11</v>
      </c>
      <c r="D127" s="1">
        <v>0.99914000000000003</v>
      </c>
      <c r="E127" s="1">
        <v>0</v>
      </c>
      <c r="F127" s="1">
        <v>0</v>
      </c>
      <c r="G127" s="1">
        <v>0</v>
      </c>
      <c r="H127" s="1">
        <v>0</v>
      </c>
      <c r="I127" s="1">
        <v>8.5999999999999998E-4</v>
      </c>
      <c r="J127" s="1" t="s">
        <v>12</v>
      </c>
      <c r="K127" t="str">
        <f>VLOOKUP(A127,metadata!A:I,9,FALSE)</f>
        <v>OK</v>
      </c>
      <c r="L127" t="str">
        <f>VLOOKUP(A127,metadata!A:F,6,FALSE)</f>
        <v>PawhuskaOK</v>
      </c>
      <c r="M127">
        <f>VLOOKUP(A127,metadata!A:D,4,FALSE)</f>
        <v>36.845039999999997</v>
      </c>
      <c r="N127">
        <f>VLOOKUP(A127,metadata!A:E,5,FALSE)</f>
        <v>-96.425259999999994</v>
      </c>
    </row>
    <row r="128" spans="1:14" ht="13" x14ac:dyDescent="0.6">
      <c r="A128" s="1" t="s">
        <v>149</v>
      </c>
      <c r="B128" s="1" t="s">
        <v>43</v>
      </c>
      <c r="C128" s="1" t="s">
        <v>87</v>
      </c>
      <c r="D128" s="1">
        <v>0</v>
      </c>
      <c r="E128" s="1">
        <v>0</v>
      </c>
      <c r="F128" s="1">
        <v>0</v>
      </c>
      <c r="G128" s="2">
        <v>1.0000000000000001E-5</v>
      </c>
      <c r="H128" s="1">
        <v>0.54269000000000001</v>
      </c>
      <c r="I128" s="1">
        <v>0.45729999999999998</v>
      </c>
      <c r="J128" s="1" t="s">
        <v>145</v>
      </c>
      <c r="K128" t="str">
        <f>VLOOKUP(A128,metadata!A:I,9,FALSE)</f>
        <v>OK</v>
      </c>
      <c r="L128" t="str">
        <f>VLOOKUP(A128,metadata!A:F,6,FALSE)</f>
        <v>PawhuskaOK</v>
      </c>
      <c r="M128">
        <f>VLOOKUP(A128,metadata!A:D,4,FALSE)</f>
        <v>36.843539999999997</v>
      </c>
      <c r="N128">
        <f>VLOOKUP(A128,metadata!A:E,5,FALSE)</f>
        <v>-96.429199999999994</v>
      </c>
    </row>
    <row r="129" spans="1:14" ht="13" x14ac:dyDescent="0.6">
      <c r="A129" s="1" t="s">
        <v>150</v>
      </c>
      <c r="B129" s="1" t="s">
        <v>19</v>
      </c>
      <c r="C129" s="1" t="s">
        <v>87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 t="s">
        <v>4</v>
      </c>
      <c r="K129" t="str">
        <f>VLOOKUP(A129,metadata!A:I,9,FALSE)</f>
        <v>OK</v>
      </c>
      <c r="L129" t="str">
        <f>VLOOKUP(A129,metadata!A:F,6,FALSE)</f>
        <v>PawhuskaOK</v>
      </c>
      <c r="M129">
        <f>VLOOKUP(A129,metadata!A:D,4,FALSE)</f>
        <v>36.845410000000001</v>
      </c>
      <c r="N129">
        <f>VLOOKUP(A129,metadata!A:E,5,FALSE)</f>
        <v>-96.419179999999997</v>
      </c>
    </row>
    <row r="130" spans="1:14" ht="13" x14ac:dyDescent="0.6">
      <c r="A130" s="1" t="s">
        <v>151</v>
      </c>
      <c r="B130" s="1" t="s">
        <v>11</v>
      </c>
      <c r="C130" s="1" t="s">
        <v>57</v>
      </c>
      <c r="D130" s="1">
        <v>0.79806999999999995</v>
      </c>
      <c r="E130" s="1">
        <v>0</v>
      </c>
      <c r="F130" s="1">
        <v>0</v>
      </c>
      <c r="G130" s="2">
        <v>3.0000000000000001E-5</v>
      </c>
      <c r="H130" s="1">
        <v>6.1799999999999997E-3</v>
      </c>
      <c r="I130" s="1">
        <v>0.19572000000000001</v>
      </c>
      <c r="J130" s="1" t="s">
        <v>58</v>
      </c>
      <c r="K130" t="str">
        <f>VLOOKUP(A130,metadata!A:I,9,FALSE)</f>
        <v>OK</v>
      </c>
      <c r="L130" t="str">
        <f>VLOOKUP(A130,metadata!A:F,6,FALSE)</f>
        <v>TulsaOK</v>
      </c>
      <c r="M130">
        <f>VLOOKUP(A130,metadata!A:D,4,FALSE)</f>
        <v>36.210700000000003</v>
      </c>
      <c r="N130">
        <f>VLOOKUP(A130,metadata!A:E,5,FALSE)</f>
        <v>-95.894760000000005</v>
      </c>
    </row>
    <row r="131" spans="1:14" ht="13" x14ac:dyDescent="0.6">
      <c r="A131" s="1" t="s">
        <v>152</v>
      </c>
      <c r="B131" s="1" t="s">
        <v>11</v>
      </c>
      <c r="C131" s="1" t="s">
        <v>11</v>
      </c>
      <c r="D131" s="1">
        <v>0.99360999999999999</v>
      </c>
      <c r="E131" s="1">
        <v>0</v>
      </c>
      <c r="F131" s="1">
        <v>0</v>
      </c>
      <c r="G131" s="1">
        <v>0</v>
      </c>
      <c r="H131" s="1">
        <v>0</v>
      </c>
      <c r="I131" s="1">
        <v>6.3800000000000003E-3</v>
      </c>
      <c r="J131" s="1" t="s">
        <v>12</v>
      </c>
      <c r="K131" t="str">
        <f>VLOOKUP(A131,metadata!A:I,9,FALSE)</f>
        <v>OK</v>
      </c>
      <c r="L131" t="str">
        <f>VLOOKUP(A131,metadata!A:F,6,FALSE)</f>
        <v>TulsaOK</v>
      </c>
      <c r="M131">
        <f>VLOOKUP(A131,metadata!A:D,4,FALSE)</f>
        <v>36.220399999999998</v>
      </c>
      <c r="N131">
        <f>VLOOKUP(A131,metadata!A:E,5,FALSE)</f>
        <v>-95.898449999999997</v>
      </c>
    </row>
    <row r="132" spans="1:14" ht="13" x14ac:dyDescent="0.6">
      <c r="A132" s="1" t="s">
        <v>153</v>
      </c>
      <c r="B132" s="1" t="s">
        <v>11</v>
      </c>
      <c r="C132" s="1" t="s">
        <v>57</v>
      </c>
      <c r="D132" s="1">
        <v>0.75275000000000003</v>
      </c>
      <c r="E132" s="1">
        <v>0</v>
      </c>
      <c r="F132" s="1">
        <v>0</v>
      </c>
      <c r="G132" s="2">
        <v>1E-4</v>
      </c>
      <c r="H132" s="1">
        <v>9.2200000000000008E-3</v>
      </c>
      <c r="I132" s="1">
        <v>0.23791999999999999</v>
      </c>
      <c r="J132" s="1" t="s">
        <v>58</v>
      </c>
      <c r="K132" t="str">
        <f>VLOOKUP(A132,metadata!A:I,9,FALSE)</f>
        <v>OK</v>
      </c>
      <c r="L132" t="str">
        <f>VLOOKUP(A132,metadata!A:F,6,FALSE)</f>
        <v>TulsaOK</v>
      </c>
      <c r="M132">
        <f>VLOOKUP(A132,metadata!A:D,4,FALSE)</f>
        <v>36.220640000000003</v>
      </c>
      <c r="N132">
        <f>VLOOKUP(A132,metadata!A:E,5,FALSE)</f>
        <v>-95.898759999999996</v>
      </c>
    </row>
    <row r="133" spans="1:14" ht="13" x14ac:dyDescent="0.6">
      <c r="A133" s="1" t="s">
        <v>154</v>
      </c>
      <c r="B133" s="1" t="s">
        <v>19</v>
      </c>
      <c r="C133" s="1" t="s">
        <v>20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 t="s">
        <v>4</v>
      </c>
      <c r="K133" t="str">
        <f>VLOOKUP(A133,metadata!A:I,9,FALSE)</f>
        <v>OK</v>
      </c>
      <c r="L133" t="str">
        <f>VLOOKUP(A133,metadata!A:F,6,FALSE)</f>
        <v>TulsaOK</v>
      </c>
      <c r="M133">
        <f>VLOOKUP(A133,metadata!A:D,4,FALSE)</f>
        <v>36.218119999999999</v>
      </c>
      <c r="N133">
        <f>VLOOKUP(A133,metadata!A:E,5,FALSE)</f>
        <v>-95.900139999999993</v>
      </c>
    </row>
    <row r="134" spans="1:14" ht="13" x14ac:dyDescent="0.6">
      <c r="A134" s="1" t="s">
        <v>155</v>
      </c>
      <c r="B134" s="1" t="s">
        <v>19</v>
      </c>
      <c r="C134" s="1" t="s">
        <v>138</v>
      </c>
      <c r="D134" s="1">
        <v>0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 t="s">
        <v>4</v>
      </c>
      <c r="K134" t="str">
        <f>VLOOKUP(A134,metadata!A:I,9,FALSE)</f>
        <v>OK</v>
      </c>
      <c r="L134" t="str">
        <f>VLOOKUP(A134,metadata!A:F,6,FALSE)</f>
        <v>HintonOK</v>
      </c>
      <c r="M134">
        <f>VLOOKUP(A134,metadata!A:D,4,FALSE)</f>
        <v>35.453510000000001</v>
      </c>
      <c r="N134">
        <f>VLOOKUP(A134,metadata!A:E,5,FALSE)</f>
        <v>-98.354119999999995</v>
      </c>
    </row>
    <row r="135" spans="1:14" ht="13" x14ac:dyDescent="0.6">
      <c r="A135" s="1" t="s">
        <v>156</v>
      </c>
      <c r="B135" s="1" t="s">
        <v>96</v>
      </c>
      <c r="C135" s="1" t="s">
        <v>96</v>
      </c>
      <c r="D135" s="1">
        <v>0.99938000000000005</v>
      </c>
      <c r="E135" s="1">
        <v>0</v>
      </c>
      <c r="F135" s="1">
        <v>0</v>
      </c>
      <c r="G135" s="1">
        <v>0</v>
      </c>
      <c r="H135" s="2">
        <v>1.0000000000000001E-5</v>
      </c>
      <c r="I135" s="1">
        <v>6.0999999999999997E-4</v>
      </c>
      <c r="J135" s="1" t="s">
        <v>12</v>
      </c>
      <c r="K135" t="str">
        <f>VLOOKUP(A135,metadata!A:I,9,FALSE)</f>
        <v>OK</v>
      </c>
      <c r="L135" t="str">
        <f>VLOOKUP(A135,metadata!A:F,6,FALSE)</f>
        <v>HintonOK</v>
      </c>
      <c r="M135">
        <f>VLOOKUP(A135,metadata!A:D,4,FALSE)</f>
        <v>35.448090000000001</v>
      </c>
      <c r="N135">
        <f>VLOOKUP(A135,metadata!A:E,5,FALSE)</f>
        <v>-98.353470000000002</v>
      </c>
    </row>
    <row r="136" spans="1:14" ht="13" x14ac:dyDescent="0.6">
      <c r="A136" s="1" t="s">
        <v>157</v>
      </c>
      <c r="B136" s="1" t="s">
        <v>19</v>
      </c>
      <c r="C136" s="1" t="s">
        <v>138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 t="s">
        <v>4</v>
      </c>
      <c r="K136" t="str">
        <f>VLOOKUP(A136,metadata!A:I,9,FALSE)</f>
        <v>OK</v>
      </c>
      <c r="L136" t="str">
        <f>VLOOKUP(A136,metadata!A:F,6,FALSE)</f>
        <v>HintonOK</v>
      </c>
      <c r="M136">
        <f>VLOOKUP(A136,metadata!A:D,4,FALSE)</f>
        <v>35.440849999999998</v>
      </c>
      <c r="N136">
        <f>VLOOKUP(A136,metadata!A:E,5,FALSE)</f>
        <v>-98.354709999999997</v>
      </c>
    </row>
    <row r="137" spans="1:14" ht="13" x14ac:dyDescent="0.6">
      <c r="A137" s="1" t="s">
        <v>158</v>
      </c>
      <c r="B137" s="1" t="s">
        <v>11</v>
      </c>
      <c r="C137" s="1" t="s">
        <v>11</v>
      </c>
      <c r="D137" s="1">
        <v>0.99887999999999999</v>
      </c>
      <c r="E137" s="1">
        <v>0</v>
      </c>
      <c r="F137" s="1">
        <v>0</v>
      </c>
      <c r="G137" s="1">
        <v>0</v>
      </c>
      <c r="H137" s="1">
        <v>0</v>
      </c>
      <c r="I137" s="1">
        <v>1.1199999999999999E-3</v>
      </c>
      <c r="J137" s="1" t="s">
        <v>12</v>
      </c>
      <c r="K137" t="str">
        <f>VLOOKUP(A137,metadata!A:I,9,FALSE)</f>
        <v>OK</v>
      </c>
      <c r="L137" t="str">
        <f>VLOOKUP(A137,metadata!A:F,6,FALSE)</f>
        <v>HintonOK</v>
      </c>
      <c r="M137">
        <f>VLOOKUP(A137,metadata!A:D,4,FALSE)</f>
        <v>35.438740000000003</v>
      </c>
      <c r="N137">
        <f>VLOOKUP(A137,metadata!A:E,5,FALSE)</f>
        <v>-98.354950000000002</v>
      </c>
    </row>
    <row r="138" spans="1:14" ht="13" x14ac:dyDescent="0.6">
      <c r="A138" s="1" t="s">
        <v>159</v>
      </c>
      <c r="B138" s="1" t="s">
        <v>11</v>
      </c>
      <c r="C138" s="1" t="s">
        <v>11</v>
      </c>
      <c r="D138" s="1">
        <v>0.98907</v>
      </c>
      <c r="E138" s="1">
        <v>0</v>
      </c>
      <c r="F138" s="1">
        <v>0</v>
      </c>
      <c r="G138" s="1">
        <v>0</v>
      </c>
      <c r="H138" s="2">
        <v>1.0000000000000001E-5</v>
      </c>
      <c r="I138" s="1">
        <v>1.0919999999999999E-2</v>
      </c>
      <c r="J138" s="1" t="s">
        <v>12</v>
      </c>
      <c r="K138" t="str">
        <f>VLOOKUP(A138,metadata!A:I,9,FALSE)</f>
        <v>OK</v>
      </c>
      <c r="L138" t="str">
        <f>VLOOKUP(A138,metadata!A:F,6,FALSE)</f>
        <v>NormanOK</v>
      </c>
      <c r="M138">
        <f>VLOOKUP(A138,metadata!A:D,4,FALSE)</f>
        <v>35.177050000000001</v>
      </c>
      <c r="N138">
        <f>VLOOKUP(A138,metadata!A:E,5,FALSE)</f>
        <v>-97.449209999999994</v>
      </c>
    </row>
    <row r="139" spans="1:14" ht="13" x14ac:dyDescent="0.6">
      <c r="A139" s="1" t="s">
        <v>160</v>
      </c>
      <c r="B139" s="1" t="s">
        <v>11</v>
      </c>
      <c r="C139" s="1" t="s">
        <v>11</v>
      </c>
      <c r="D139" s="1">
        <v>0.99292000000000002</v>
      </c>
      <c r="E139" s="1">
        <v>0</v>
      </c>
      <c r="F139" s="1">
        <v>0</v>
      </c>
      <c r="G139" s="1">
        <v>0</v>
      </c>
      <c r="H139" s="1">
        <v>0</v>
      </c>
      <c r="I139" s="1">
        <v>7.0800000000000004E-3</v>
      </c>
      <c r="J139" s="1" t="s">
        <v>12</v>
      </c>
      <c r="K139" t="str">
        <f>VLOOKUP(A139,metadata!A:I,9,FALSE)</f>
        <v>OK</v>
      </c>
      <c r="L139" t="str">
        <f>VLOOKUP(A139,metadata!A:F,6,FALSE)</f>
        <v>NormanOK</v>
      </c>
      <c r="M139">
        <f>VLOOKUP(A139,metadata!A:D,4,FALSE)</f>
        <v>35.176879999999997</v>
      </c>
      <c r="N139">
        <f>VLOOKUP(A139,metadata!A:E,5,FALSE)</f>
        <v>-97.449700000000007</v>
      </c>
    </row>
    <row r="140" spans="1:14" ht="13" x14ac:dyDescent="0.6">
      <c r="A140" s="1" t="s">
        <v>161</v>
      </c>
      <c r="B140" s="1" t="s">
        <v>11</v>
      </c>
      <c r="C140" s="1" t="s">
        <v>57</v>
      </c>
      <c r="D140" s="1">
        <v>0.71231</v>
      </c>
      <c r="E140" s="1">
        <v>0</v>
      </c>
      <c r="F140" s="1">
        <v>0</v>
      </c>
      <c r="G140" s="2">
        <v>6.0000000000000002E-5</v>
      </c>
      <c r="H140" s="1">
        <v>8.4799999999999997E-3</v>
      </c>
      <c r="I140" s="1">
        <v>0.27915000000000001</v>
      </c>
      <c r="J140" s="1" t="s">
        <v>58</v>
      </c>
      <c r="K140" t="str">
        <f>VLOOKUP(A140,metadata!A:I,9,FALSE)</f>
        <v>OK</v>
      </c>
      <c r="L140" t="str">
        <f>VLOOKUP(A140,metadata!A:F,6,FALSE)</f>
        <v>NormanOK</v>
      </c>
      <c r="M140">
        <f>VLOOKUP(A140,metadata!A:D,4,FALSE)</f>
        <v>35.177219999999998</v>
      </c>
      <c r="N140">
        <f>VLOOKUP(A140,metadata!A:E,5,FALSE)</f>
        <v>-97.450029999999998</v>
      </c>
    </row>
    <row r="141" spans="1:14" ht="13" hidden="1" x14ac:dyDescent="0.6">
      <c r="A141" s="1" t="s">
        <v>162</v>
      </c>
      <c r="B141" s="1" t="s">
        <v>11</v>
      </c>
      <c r="C141" s="1" t="s">
        <v>11</v>
      </c>
      <c r="D141" s="1">
        <v>0.99697999999999998</v>
      </c>
      <c r="E141" s="1">
        <v>0</v>
      </c>
      <c r="F141" s="1">
        <v>0</v>
      </c>
      <c r="G141" s="1">
        <v>0</v>
      </c>
      <c r="H141" s="1">
        <v>0</v>
      </c>
      <c r="I141" s="1">
        <v>3.0200000000000001E-3</v>
      </c>
      <c r="J141" s="1" t="s">
        <v>12</v>
      </c>
      <c r="K141" t="str">
        <f>VLOOKUP(A141,metadata!A:I,9,FALSE)</f>
        <v>AR</v>
      </c>
      <c r="L141" t="str">
        <f>VLOOKUP(A141,metadata!A:F,6,FALSE)</f>
        <v>LittleRockAR</v>
      </c>
      <c r="M141">
        <f>VLOOKUP(A141,metadata!A:D,4,FALSE)</f>
        <v>34.803840000000001</v>
      </c>
      <c r="N141">
        <f>VLOOKUP(A141,metadata!A:E,5,FALSE)</f>
        <v>-92.326340000000002</v>
      </c>
    </row>
    <row r="142" spans="1:14" ht="13" hidden="1" x14ac:dyDescent="0.6">
      <c r="A142" s="1" t="s">
        <v>163</v>
      </c>
      <c r="B142" s="1" t="s">
        <v>54</v>
      </c>
      <c r="C142" s="1" t="s">
        <v>54</v>
      </c>
      <c r="D142" s="1">
        <v>0.99978999999999996</v>
      </c>
      <c r="E142" s="1">
        <v>0</v>
      </c>
      <c r="F142" s="1">
        <v>0</v>
      </c>
      <c r="G142" s="1">
        <v>0</v>
      </c>
      <c r="H142" s="1">
        <v>0</v>
      </c>
      <c r="I142" s="1">
        <v>2.1000000000000001E-4</v>
      </c>
      <c r="J142" s="1" t="s">
        <v>12</v>
      </c>
      <c r="K142" t="str">
        <f>VLOOKUP(A142,metadata!A:I,9,FALSE)</f>
        <v>AR</v>
      </c>
      <c r="L142" t="str">
        <f>VLOOKUP(A142,metadata!A:F,6,FALSE)</f>
        <v>LittleRockAR</v>
      </c>
      <c r="M142">
        <f>VLOOKUP(A142,metadata!A:D,4,FALSE)</f>
        <v>34.802990000000001</v>
      </c>
      <c r="N142">
        <f>VLOOKUP(A142,metadata!A:E,5,FALSE)</f>
        <v>-92.325990000000004</v>
      </c>
    </row>
    <row r="143" spans="1:14" ht="13" hidden="1" x14ac:dyDescent="0.6">
      <c r="A143" s="1" t="s">
        <v>164</v>
      </c>
      <c r="B143" s="1" t="s">
        <v>19</v>
      </c>
      <c r="C143" s="1" t="s">
        <v>20</v>
      </c>
      <c r="D143" s="1">
        <v>0</v>
      </c>
      <c r="E143" s="1">
        <v>0.99999000000000005</v>
      </c>
      <c r="F143" s="2">
        <v>1.0000000000000001E-5</v>
      </c>
      <c r="G143" s="1">
        <v>0</v>
      </c>
      <c r="H143" s="1">
        <v>0</v>
      </c>
      <c r="I143" s="1">
        <v>0</v>
      </c>
      <c r="J143" s="1" t="s">
        <v>4</v>
      </c>
      <c r="K143" t="str">
        <f>VLOOKUP(A143,metadata!A:I,9,FALSE)</f>
        <v>AR</v>
      </c>
      <c r="L143" t="str">
        <f>VLOOKUP(A143,metadata!A:F,6,FALSE)</f>
        <v>LittleRockAR</v>
      </c>
      <c r="M143">
        <f>VLOOKUP(A143,metadata!A:D,4,FALSE)</f>
        <v>34.803060000000002</v>
      </c>
      <c r="N143">
        <f>VLOOKUP(A143,metadata!A:E,5,FALSE)</f>
        <v>-92.325550000000007</v>
      </c>
    </row>
    <row r="144" spans="1:14" ht="13" hidden="1" x14ac:dyDescent="0.6">
      <c r="A144" s="1" t="s">
        <v>165</v>
      </c>
      <c r="B144" s="1" t="s">
        <v>19</v>
      </c>
      <c r="C144" s="1" t="s">
        <v>20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 t="s">
        <v>4</v>
      </c>
      <c r="K144" t="str">
        <f>VLOOKUP(A144,metadata!A:I,9,FALSE)</f>
        <v>AR</v>
      </c>
      <c r="L144" t="str">
        <f>VLOOKUP(A144,metadata!A:F,6,FALSE)</f>
        <v>LittleRockAR</v>
      </c>
      <c r="M144">
        <f>VLOOKUP(A144,metadata!A:D,4,FALSE)</f>
        <v>34.802799999999998</v>
      </c>
      <c r="N144">
        <f>VLOOKUP(A144,metadata!A:E,5,FALSE)</f>
        <v>-92.325569999999999</v>
      </c>
    </row>
    <row r="145" spans="1:14" ht="13" hidden="1" x14ac:dyDescent="0.6">
      <c r="A145" s="1" t="s">
        <v>166</v>
      </c>
      <c r="B145" s="1" t="s">
        <v>19</v>
      </c>
      <c r="C145" s="1" t="s">
        <v>87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 t="s">
        <v>4</v>
      </c>
      <c r="K145" t="str">
        <f>VLOOKUP(A145,metadata!A:I,9,FALSE)</f>
        <v>AR</v>
      </c>
      <c r="L145" t="str">
        <f>VLOOKUP(A145,metadata!A:F,6,FALSE)</f>
        <v>LittleRockAR</v>
      </c>
      <c r="M145">
        <f>VLOOKUP(A145,metadata!A:D,4,FALSE)</f>
        <v>34.80348</v>
      </c>
      <c r="N145">
        <f>VLOOKUP(A145,metadata!A:E,5,FALSE)</f>
        <v>-92.325900000000004</v>
      </c>
    </row>
    <row r="146" spans="1:14" ht="13" hidden="1" x14ac:dyDescent="0.6">
      <c r="A146" s="1" t="s">
        <v>167</v>
      </c>
      <c r="B146" s="1" t="s">
        <v>11</v>
      </c>
      <c r="C146" s="1" t="s">
        <v>57</v>
      </c>
      <c r="D146" s="1">
        <v>0.82213999999999998</v>
      </c>
      <c r="E146" s="1">
        <v>0</v>
      </c>
      <c r="F146" s="1">
        <v>0</v>
      </c>
      <c r="G146" s="1">
        <v>0</v>
      </c>
      <c r="H146" s="1">
        <v>9.5E-4</v>
      </c>
      <c r="I146" s="1">
        <v>0.17691000000000001</v>
      </c>
      <c r="J146" s="1" t="s">
        <v>58</v>
      </c>
      <c r="K146" t="str">
        <f>VLOOKUP(A146,metadata!A:I,9,FALSE)</f>
        <v>AR</v>
      </c>
      <c r="L146" t="str">
        <f>VLOOKUP(A146,metadata!A:F,6,FALSE)</f>
        <v>LittleRockAR</v>
      </c>
      <c r="M146">
        <f>VLOOKUP(A146,metadata!A:D,4,FALSE)</f>
        <v>34.80377</v>
      </c>
      <c r="N146">
        <f>VLOOKUP(A146,metadata!A:E,5,FALSE)</f>
        <v>-92.326980000000006</v>
      </c>
    </row>
    <row r="147" spans="1:14" ht="13" hidden="1" x14ac:dyDescent="0.6">
      <c r="A147" s="1" t="s">
        <v>168</v>
      </c>
      <c r="B147" s="1" t="s">
        <v>19</v>
      </c>
      <c r="C147" s="1" t="s">
        <v>87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 t="s">
        <v>4</v>
      </c>
      <c r="K147" t="str">
        <f>VLOOKUP(A147,metadata!A:I,9,FALSE)</f>
        <v>AR</v>
      </c>
      <c r="L147" t="str">
        <f>VLOOKUP(A147,metadata!A:F,6,FALSE)</f>
        <v>LittleRockAR</v>
      </c>
      <c r="M147">
        <f>VLOOKUP(A147,metadata!A:D,4,FALSE)</f>
        <v>34.804270000000002</v>
      </c>
      <c r="N147">
        <f>VLOOKUP(A147,metadata!A:E,5,FALSE)</f>
        <v>-92.326520000000002</v>
      </c>
    </row>
    <row r="148" spans="1:14" ht="13" hidden="1" x14ac:dyDescent="0.6">
      <c r="A148" s="1" t="s">
        <v>169</v>
      </c>
      <c r="B148" s="1" t="s">
        <v>11</v>
      </c>
      <c r="C148" s="1" t="s">
        <v>11</v>
      </c>
      <c r="D148" s="1">
        <v>0.99916000000000005</v>
      </c>
      <c r="E148" s="1">
        <v>0</v>
      </c>
      <c r="F148" s="1">
        <v>0</v>
      </c>
      <c r="G148" s="1">
        <v>0</v>
      </c>
      <c r="H148" s="1">
        <v>0</v>
      </c>
      <c r="I148" s="1">
        <v>8.4000000000000003E-4</v>
      </c>
      <c r="J148" s="1" t="s">
        <v>12</v>
      </c>
      <c r="K148" t="str">
        <f>VLOOKUP(A148,metadata!A:I,9,FALSE)</f>
        <v>AR</v>
      </c>
      <c r="L148" t="str">
        <f>VLOOKUP(A148,metadata!A:F,6,FALSE)</f>
        <v>LittleRockAR</v>
      </c>
      <c r="M148">
        <f>VLOOKUP(A148,metadata!A:D,4,FALSE)</f>
        <v>34.804450000000003</v>
      </c>
      <c r="N148">
        <f>VLOOKUP(A148,metadata!A:E,5,FALSE)</f>
        <v>-92.326120000000003</v>
      </c>
    </row>
    <row r="149" spans="1:14" ht="13" hidden="1" x14ac:dyDescent="0.6">
      <c r="A149" s="1" t="s">
        <v>170</v>
      </c>
      <c r="B149" s="1" t="s">
        <v>11</v>
      </c>
      <c r="C149" s="1" t="s">
        <v>11</v>
      </c>
      <c r="D149" s="1">
        <v>0.94410000000000005</v>
      </c>
      <c r="E149" s="1">
        <v>0</v>
      </c>
      <c r="F149" s="1">
        <v>0</v>
      </c>
      <c r="G149" s="1">
        <v>0</v>
      </c>
      <c r="H149" s="1">
        <v>1.9000000000000001E-4</v>
      </c>
      <c r="I149" s="1">
        <v>5.5710000000000003E-2</v>
      </c>
      <c r="J149" s="1" t="s">
        <v>12</v>
      </c>
      <c r="K149" t="str">
        <f>VLOOKUP(A149,metadata!A:I,9,FALSE)</f>
        <v>MO</v>
      </c>
      <c r="L149" t="str">
        <f>VLOOKUP(A149,metadata!A:F,6,FALSE)</f>
        <v>EminenceMO</v>
      </c>
      <c r="M149">
        <f>VLOOKUP(A149,metadata!A:D,4,FALSE)</f>
        <v>37.157400000000003</v>
      </c>
      <c r="N149">
        <f>VLOOKUP(A149,metadata!A:E,5,FALSE)</f>
        <v>-91.364959999999996</v>
      </c>
    </row>
    <row r="150" spans="1:14" ht="13" hidden="1" x14ac:dyDescent="0.6">
      <c r="A150" s="1" t="s">
        <v>171</v>
      </c>
      <c r="B150" s="1" t="s">
        <v>96</v>
      </c>
      <c r="C150" s="1" t="s">
        <v>96</v>
      </c>
      <c r="D150" s="1">
        <v>0.99951000000000001</v>
      </c>
      <c r="E150" s="1">
        <v>0</v>
      </c>
      <c r="F150" s="1">
        <v>0</v>
      </c>
      <c r="G150" s="1">
        <v>0</v>
      </c>
      <c r="H150" s="1">
        <v>0</v>
      </c>
      <c r="I150" s="1">
        <v>4.8999999999999998E-4</v>
      </c>
      <c r="J150" s="1" t="s">
        <v>12</v>
      </c>
      <c r="K150" t="str">
        <f>VLOOKUP(A150,metadata!A:I,9,FALSE)</f>
        <v>MO</v>
      </c>
      <c r="L150" t="str">
        <f>VLOOKUP(A150,metadata!A:F,6,FALSE)</f>
        <v>EminenceMO</v>
      </c>
      <c r="M150">
        <f>VLOOKUP(A150,metadata!A:D,4,FALSE)</f>
        <v>37.157400000000003</v>
      </c>
      <c r="N150">
        <f>VLOOKUP(A150,metadata!A:E,5,FALSE)</f>
        <v>-91.364959999999996</v>
      </c>
    </row>
    <row r="151" spans="1:14" ht="13" hidden="1" x14ac:dyDescent="0.6">
      <c r="A151" s="1" t="s">
        <v>172</v>
      </c>
      <c r="B151" s="1" t="s">
        <v>54</v>
      </c>
      <c r="C151" s="1" t="s">
        <v>54</v>
      </c>
      <c r="D151" s="1">
        <v>0.99939</v>
      </c>
      <c r="E151" s="1">
        <v>0</v>
      </c>
      <c r="F151" s="1">
        <v>0</v>
      </c>
      <c r="G151" s="1">
        <v>0</v>
      </c>
      <c r="H151" s="2">
        <v>2.0000000000000002E-5</v>
      </c>
      <c r="I151" s="1">
        <v>5.8E-4</v>
      </c>
      <c r="J151" s="1" t="s">
        <v>12</v>
      </c>
      <c r="K151" t="str">
        <f>VLOOKUP(A151,metadata!A:I,9,FALSE)</f>
        <v>MO</v>
      </c>
      <c r="L151" t="str">
        <f>VLOOKUP(A151,metadata!A:F,6,FALSE)</f>
        <v>EminenceMO</v>
      </c>
      <c r="M151">
        <f>VLOOKUP(A151,metadata!A:D,4,FALSE)</f>
        <v>37.157290000000003</v>
      </c>
      <c r="N151">
        <f>VLOOKUP(A151,metadata!A:E,5,FALSE)</f>
        <v>-91.364990000000006</v>
      </c>
    </row>
    <row r="152" spans="1:14" ht="13" hidden="1" x14ac:dyDescent="0.6">
      <c r="A152" s="1" t="s">
        <v>173</v>
      </c>
      <c r="B152" s="1" t="s">
        <v>11</v>
      </c>
      <c r="C152" s="1" t="s">
        <v>11</v>
      </c>
      <c r="D152" s="1">
        <v>0.99812999999999996</v>
      </c>
      <c r="E152" s="1">
        <v>0</v>
      </c>
      <c r="F152" s="1">
        <v>0</v>
      </c>
      <c r="G152" s="1">
        <v>0</v>
      </c>
      <c r="H152" s="2">
        <v>1.0000000000000001E-5</v>
      </c>
      <c r="I152" s="1">
        <v>1.8600000000000001E-3</v>
      </c>
      <c r="J152" s="1" t="s">
        <v>12</v>
      </c>
      <c r="K152" t="str">
        <f>VLOOKUP(A152,metadata!A:I,9,FALSE)</f>
        <v>MO</v>
      </c>
      <c r="L152" t="str">
        <f>VLOOKUP(A152,metadata!A:F,6,FALSE)</f>
        <v>EminenceMO</v>
      </c>
      <c r="M152">
        <f>VLOOKUP(A152,metadata!A:D,4,FALSE)</f>
        <v>37.156869999999998</v>
      </c>
      <c r="N152">
        <f>VLOOKUP(A152,metadata!A:E,5,FALSE)</f>
        <v>-91.364710000000002</v>
      </c>
    </row>
    <row r="153" spans="1:14" ht="13" hidden="1" x14ac:dyDescent="0.6">
      <c r="A153" s="1" t="s">
        <v>174</v>
      </c>
      <c r="B153" s="1" t="s">
        <v>11</v>
      </c>
      <c r="C153" s="1" t="s">
        <v>11</v>
      </c>
      <c r="D153" s="1">
        <v>0.99936000000000003</v>
      </c>
      <c r="E153" s="1">
        <v>0</v>
      </c>
      <c r="F153" s="1">
        <v>0</v>
      </c>
      <c r="G153" s="1">
        <v>0</v>
      </c>
      <c r="H153" s="1">
        <v>0</v>
      </c>
      <c r="I153" s="1">
        <v>6.4000000000000005E-4</v>
      </c>
      <c r="J153" s="1" t="s">
        <v>12</v>
      </c>
      <c r="K153" t="str">
        <f>VLOOKUP(A153,metadata!A:I,9,FALSE)</f>
        <v>MO</v>
      </c>
      <c r="L153" t="str">
        <f>VLOOKUP(A153,metadata!A:F,6,FALSE)</f>
        <v>EminenceMO</v>
      </c>
      <c r="M153">
        <f>VLOOKUP(A153,metadata!A:D,4,FALSE)</f>
        <v>37.157580000000003</v>
      </c>
      <c r="N153">
        <f>VLOOKUP(A153,metadata!A:E,5,FALSE)</f>
        <v>-91.365129999999994</v>
      </c>
    </row>
    <row r="154" spans="1:14" ht="13" hidden="1" x14ac:dyDescent="0.6">
      <c r="A154" s="1" t="s">
        <v>175</v>
      </c>
      <c r="B154" s="1" t="s">
        <v>11</v>
      </c>
      <c r="C154" s="1" t="s">
        <v>57</v>
      </c>
      <c r="D154" s="1">
        <v>0.89107000000000003</v>
      </c>
      <c r="E154" s="1">
        <v>0</v>
      </c>
      <c r="F154" s="1">
        <v>0</v>
      </c>
      <c r="G154" s="1">
        <v>0</v>
      </c>
      <c r="H154" s="1">
        <v>1.3999999999999999E-4</v>
      </c>
      <c r="I154" s="1">
        <v>0.10879</v>
      </c>
      <c r="J154" s="1" t="s">
        <v>58</v>
      </c>
      <c r="K154" t="str">
        <f>VLOOKUP(A154,metadata!A:I,9,FALSE)</f>
        <v>MN</v>
      </c>
      <c r="L154" t="str">
        <f>VLOOKUP(A154,metadata!A:F,6,FALSE)</f>
        <v>WinonaMN</v>
      </c>
      <c r="M154">
        <f>VLOOKUP(A154,metadata!A:D,4,FALSE)</f>
        <v>43.902920000000002</v>
      </c>
      <c r="N154">
        <f>VLOOKUP(A154,metadata!A:E,5,FALSE)</f>
        <v>-91.639960000000002</v>
      </c>
    </row>
    <row r="155" spans="1:14" ht="13" hidden="1" x14ac:dyDescent="0.6">
      <c r="A155" s="1" t="s">
        <v>176</v>
      </c>
      <c r="B155" s="1" t="s">
        <v>96</v>
      </c>
      <c r="C155" s="1" t="s">
        <v>96</v>
      </c>
      <c r="D155" s="1">
        <v>0.99809999999999999</v>
      </c>
      <c r="E155" s="1">
        <v>0</v>
      </c>
      <c r="F155" s="1">
        <v>0</v>
      </c>
      <c r="G155" s="1">
        <v>0</v>
      </c>
      <c r="H155" s="2">
        <v>2.0000000000000002E-5</v>
      </c>
      <c r="I155" s="1">
        <v>1.89E-3</v>
      </c>
      <c r="J155" s="1" t="s">
        <v>12</v>
      </c>
      <c r="K155" t="str">
        <f>VLOOKUP(A155,metadata!A:I,9,FALSE)</f>
        <v>MN</v>
      </c>
      <c r="L155" t="str">
        <f>VLOOKUP(A155,metadata!A:F,6,FALSE)</f>
        <v>WinonaMN</v>
      </c>
      <c r="M155">
        <f>VLOOKUP(A155,metadata!A:D,4,FALSE)</f>
        <v>43.902999999999999</v>
      </c>
      <c r="N155">
        <f>VLOOKUP(A155,metadata!A:E,5,FALSE)</f>
        <v>-91.639859999999999</v>
      </c>
    </row>
    <row r="156" spans="1:14" ht="13" hidden="1" x14ac:dyDescent="0.6">
      <c r="A156" s="1" t="s">
        <v>177</v>
      </c>
      <c r="B156" s="1" t="s">
        <v>54</v>
      </c>
      <c r="C156" s="1" t="s">
        <v>54</v>
      </c>
      <c r="D156" s="1">
        <v>0.99739999999999995</v>
      </c>
      <c r="E156" s="1">
        <v>0</v>
      </c>
      <c r="F156" s="1">
        <v>0</v>
      </c>
      <c r="G156" s="1">
        <v>0</v>
      </c>
      <c r="H156" s="1">
        <v>1.9000000000000001E-4</v>
      </c>
      <c r="I156" s="1">
        <v>2.4099999999999998E-3</v>
      </c>
      <c r="J156" s="1" t="s">
        <v>12</v>
      </c>
      <c r="K156" t="str">
        <f>VLOOKUP(A156,metadata!A:I,9,FALSE)</f>
        <v>MN</v>
      </c>
      <c r="L156" t="str">
        <f>VLOOKUP(A156,metadata!A:F,6,FALSE)</f>
        <v>WinonaMN</v>
      </c>
      <c r="M156">
        <f>VLOOKUP(A156,metadata!A:D,4,FALSE)</f>
        <v>43.891579999999998</v>
      </c>
      <c r="N156">
        <f>VLOOKUP(A156,metadata!A:E,5,FALSE)</f>
        <v>-91.648290000000003</v>
      </c>
    </row>
    <row r="157" spans="1:14" ht="13" hidden="1" x14ac:dyDescent="0.6">
      <c r="A157" s="1" t="s">
        <v>178</v>
      </c>
      <c r="B157" s="1" t="s">
        <v>11</v>
      </c>
      <c r="C157" s="1" t="s">
        <v>11</v>
      </c>
      <c r="D157" s="1">
        <v>0.99139999999999995</v>
      </c>
      <c r="E157" s="1">
        <v>0</v>
      </c>
      <c r="F157" s="1">
        <v>0</v>
      </c>
      <c r="G157" s="1">
        <v>0</v>
      </c>
      <c r="H157" s="1">
        <v>0</v>
      </c>
      <c r="I157" s="1">
        <v>8.6E-3</v>
      </c>
      <c r="J157" s="1" t="s">
        <v>12</v>
      </c>
      <c r="K157" t="str">
        <f>VLOOKUP(A157,metadata!A:I,9,FALSE)</f>
        <v>Manitoba</v>
      </c>
      <c r="L157" t="str">
        <f>VLOOKUP(A157,metadata!A:F,6,FALSE)</f>
        <v>WhiteshellMB</v>
      </c>
      <c r="M157">
        <f>VLOOKUP(A157,metadata!A:D,4,FALSE)</f>
        <v>49.711869999999998</v>
      </c>
      <c r="N157">
        <f>VLOOKUP(A157,metadata!A:E,5,FALSE)</f>
        <v>-95.244560000000007</v>
      </c>
    </row>
    <row r="158" spans="1:14" ht="13" hidden="1" x14ac:dyDescent="0.6">
      <c r="A158" s="1" t="s">
        <v>179</v>
      </c>
      <c r="B158" s="1" t="s">
        <v>11</v>
      </c>
      <c r="C158" s="1" t="s">
        <v>11</v>
      </c>
      <c r="D158" s="1">
        <v>0.99987000000000004</v>
      </c>
      <c r="E158" s="1">
        <v>0</v>
      </c>
      <c r="F158" s="1">
        <v>0</v>
      </c>
      <c r="G158" s="1">
        <v>0</v>
      </c>
      <c r="H158" s="1">
        <v>0</v>
      </c>
      <c r="I158" s="1">
        <v>1.2999999999999999E-4</v>
      </c>
      <c r="J158" s="1" t="s">
        <v>12</v>
      </c>
      <c r="K158" t="str">
        <f>VLOOKUP(A158,metadata!A:I,9,FALSE)</f>
        <v>Manitoba</v>
      </c>
      <c r="L158" t="str">
        <f>VLOOKUP(A158,metadata!A:F,6,FALSE)</f>
        <v>SpruceWoodsMB</v>
      </c>
      <c r="M158">
        <f>VLOOKUP(A158,metadata!A:D,4,FALSE)</f>
        <v>49.761369999999999</v>
      </c>
      <c r="N158">
        <f>VLOOKUP(A158,metadata!A:E,5,FALSE)</f>
        <v>-99.160399999999996</v>
      </c>
    </row>
    <row r="159" spans="1:14" ht="13" hidden="1" x14ac:dyDescent="0.6">
      <c r="A159" s="1" t="s">
        <v>180</v>
      </c>
      <c r="B159" s="1" t="s">
        <v>11</v>
      </c>
      <c r="C159" s="1" t="s">
        <v>11</v>
      </c>
      <c r="D159" s="1">
        <v>0.99968000000000001</v>
      </c>
      <c r="E159" s="1">
        <v>0</v>
      </c>
      <c r="F159" s="1">
        <v>0</v>
      </c>
      <c r="G159" s="1">
        <v>0</v>
      </c>
      <c r="H159" s="1">
        <v>0</v>
      </c>
      <c r="I159" s="1">
        <v>3.2000000000000003E-4</v>
      </c>
      <c r="J159" s="1" t="s">
        <v>12</v>
      </c>
      <c r="K159" t="str">
        <f>VLOOKUP(A159,metadata!A:I,9,FALSE)</f>
        <v>Manitoba</v>
      </c>
      <c r="L159" t="str">
        <f>VLOOKUP(A159,metadata!A:F,6,FALSE)</f>
        <v>SpruceWoodsMB</v>
      </c>
      <c r="M159">
        <f>VLOOKUP(A159,metadata!A:D,4,FALSE)</f>
        <v>49.760550000000002</v>
      </c>
      <c r="N159">
        <f>VLOOKUP(A159,metadata!A:E,5,FALSE)</f>
        <v>-99.158439999999999</v>
      </c>
    </row>
    <row r="160" spans="1:14" ht="13" hidden="1" x14ac:dyDescent="0.6">
      <c r="A160" s="1" t="s">
        <v>181</v>
      </c>
      <c r="B160" s="1" t="s">
        <v>11</v>
      </c>
      <c r="C160" s="1" t="s">
        <v>11</v>
      </c>
      <c r="D160" s="1">
        <v>0.99958999999999998</v>
      </c>
      <c r="E160" s="1">
        <v>0</v>
      </c>
      <c r="F160" s="1">
        <v>0</v>
      </c>
      <c r="G160" s="1">
        <v>0</v>
      </c>
      <c r="H160" s="1">
        <v>0</v>
      </c>
      <c r="I160" s="1">
        <v>4.0999999999999999E-4</v>
      </c>
      <c r="J160" s="1" t="s">
        <v>12</v>
      </c>
      <c r="K160" t="str">
        <f>VLOOKUP(A160,metadata!A:I,9,FALSE)</f>
        <v>Manitoba</v>
      </c>
      <c r="L160" t="str">
        <f>VLOOKUP(A160,metadata!A:F,6,FALSE)</f>
        <v>AssiniboineMB</v>
      </c>
      <c r="M160">
        <f>VLOOKUP(A160,metadata!A:D,4,FALSE)</f>
        <v>49.85783</v>
      </c>
      <c r="N160">
        <f>VLOOKUP(A160,metadata!A:E,5,FALSE)</f>
        <v>-97.249110000000002</v>
      </c>
    </row>
    <row r="161" spans="1:14" ht="13" hidden="1" x14ac:dyDescent="0.6">
      <c r="A161" s="1" t="s">
        <v>182</v>
      </c>
      <c r="B161" s="1" t="s">
        <v>11</v>
      </c>
      <c r="C161" s="1" t="s">
        <v>11</v>
      </c>
      <c r="D161" s="1">
        <v>0.99287000000000003</v>
      </c>
      <c r="E161" s="1">
        <v>0</v>
      </c>
      <c r="F161" s="1">
        <v>0</v>
      </c>
      <c r="G161" s="1">
        <v>0</v>
      </c>
      <c r="H161" s="2">
        <v>4.0000000000000003E-5</v>
      </c>
      <c r="I161" s="1">
        <v>7.0899999999999999E-3</v>
      </c>
      <c r="J161" s="1" t="s">
        <v>12</v>
      </c>
      <c r="K161" t="str">
        <f>VLOOKUP(A161,metadata!A:I,9,FALSE)</f>
        <v>WI</v>
      </c>
      <c r="L161" t="str">
        <f>VLOOKUP(A161,metadata!A:F,6,FALSE)</f>
        <v>RoundLakeWI</v>
      </c>
      <c r="M161">
        <f>VLOOKUP(A161,metadata!A:D,4,FALSE)</f>
        <v>46.023829999999997</v>
      </c>
      <c r="N161">
        <f>VLOOKUP(A161,metadata!A:E,5,FALSE)</f>
        <v>-91.145570000000006</v>
      </c>
    </row>
    <row r="162" spans="1:14" ht="13" hidden="1" x14ac:dyDescent="0.6">
      <c r="A162" s="1" t="s">
        <v>183</v>
      </c>
      <c r="B162" s="1" t="s">
        <v>11</v>
      </c>
      <c r="C162" s="1" t="s">
        <v>11</v>
      </c>
      <c r="D162" s="1">
        <v>0.91710999999999998</v>
      </c>
      <c r="E162" s="1">
        <v>0</v>
      </c>
      <c r="F162" s="1">
        <v>0</v>
      </c>
      <c r="G162" s="1">
        <v>0</v>
      </c>
      <c r="H162" s="1">
        <v>2.5699999999999998E-3</v>
      </c>
      <c r="I162" s="1">
        <v>8.0320000000000003E-2</v>
      </c>
      <c r="J162" s="1" t="s">
        <v>12</v>
      </c>
      <c r="K162" t="str">
        <f>VLOOKUP(A162,metadata!A:I,9,FALSE)</f>
        <v>WI</v>
      </c>
      <c r="L162" t="str">
        <f>VLOOKUP(A162,metadata!A:F,6,FALSE)</f>
        <v>RoundLakeWI</v>
      </c>
      <c r="M162">
        <f>VLOOKUP(A162,metadata!A:D,4,FALSE)</f>
        <v>46.0259</v>
      </c>
      <c r="N162">
        <f>VLOOKUP(A162,metadata!A:E,5,FALSE)</f>
        <v>-91.142880000000005</v>
      </c>
    </row>
    <row r="163" spans="1:14" ht="13" hidden="1" x14ac:dyDescent="0.6">
      <c r="A163" s="1" t="s">
        <v>184</v>
      </c>
      <c r="B163" s="1" t="s">
        <v>11</v>
      </c>
      <c r="C163" s="1" t="s">
        <v>11</v>
      </c>
      <c r="D163" s="1">
        <v>0.99934999999999996</v>
      </c>
      <c r="E163" s="1">
        <v>0</v>
      </c>
      <c r="F163" s="1">
        <v>0</v>
      </c>
      <c r="G163" s="1">
        <v>0</v>
      </c>
      <c r="H163" s="1">
        <v>0</v>
      </c>
      <c r="I163" s="1">
        <v>6.4999999999999997E-4</v>
      </c>
      <c r="J163" s="1" t="s">
        <v>12</v>
      </c>
      <c r="K163" t="str">
        <f>VLOOKUP(A163,metadata!A:I,9,FALSE)</f>
        <v>WI</v>
      </c>
      <c r="L163" t="str">
        <f>VLOOKUP(A163,metadata!A:F,6,FALSE)</f>
        <v>RoundLakeWI</v>
      </c>
      <c r="M163">
        <f>VLOOKUP(A163,metadata!A:D,4,FALSE)</f>
        <v>46.0244</v>
      </c>
      <c r="N163">
        <f>VLOOKUP(A163,metadata!A:E,5,FALSE)</f>
        <v>-91.129450000000006</v>
      </c>
    </row>
    <row r="164" spans="1:14" ht="13" hidden="1" x14ac:dyDescent="0.6">
      <c r="A164" s="1" t="s">
        <v>185</v>
      </c>
      <c r="B164" s="1" t="s">
        <v>11</v>
      </c>
      <c r="C164" s="1" t="s">
        <v>11</v>
      </c>
      <c r="D164" s="1">
        <v>0.99946000000000002</v>
      </c>
      <c r="E164" s="1">
        <v>0</v>
      </c>
      <c r="F164" s="1">
        <v>0</v>
      </c>
      <c r="G164" s="1">
        <v>0</v>
      </c>
      <c r="H164" s="1">
        <v>0</v>
      </c>
      <c r="I164" s="1">
        <v>5.4000000000000001E-4</v>
      </c>
      <c r="J164" s="1" t="s">
        <v>12</v>
      </c>
      <c r="K164" t="str">
        <f>VLOOKUP(A164,metadata!A:I,9,FALSE)</f>
        <v>KS</v>
      </c>
      <c r="L164" t="str">
        <f>VLOOKUP(A164,metadata!A:F,6,FALSE)</f>
        <v>MinookaKS</v>
      </c>
      <c r="M164">
        <f>VLOOKUP(A164,metadata!A:D,4,FALSE)</f>
        <v>38.963585999999999</v>
      </c>
      <c r="N164">
        <f>VLOOKUP(A164,metadata!A:E,5,FALSE)</f>
        <v>-98.589060000000003</v>
      </c>
    </row>
    <row r="165" spans="1:14" ht="13" hidden="1" x14ac:dyDescent="0.6">
      <c r="A165" s="1" t="s">
        <v>186</v>
      </c>
      <c r="B165" s="1" t="s">
        <v>11</v>
      </c>
      <c r="C165" s="1" t="s">
        <v>11</v>
      </c>
      <c r="D165" s="1">
        <v>0.99016000000000004</v>
      </c>
      <c r="E165" s="1">
        <v>0</v>
      </c>
      <c r="F165" s="1">
        <v>0</v>
      </c>
      <c r="G165" s="1">
        <v>0</v>
      </c>
      <c r="H165" s="1">
        <v>0</v>
      </c>
      <c r="I165" s="1">
        <v>9.8399999999999998E-3</v>
      </c>
      <c r="J165" s="1" t="s">
        <v>12</v>
      </c>
      <c r="K165" t="str">
        <f>VLOOKUP(A165,metadata!A:I,9,FALSE)</f>
        <v>KS</v>
      </c>
      <c r="L165" t="str">
        <f>VLOOKUP(A165,metadata!A:F,6,FALSE)</f>
        <v>MinookaKS</v>
      </c>
      <c r="M165">
        <f>VLOOKUP(A165,metadata!A:D,4,FALSE)</f>
        <v>38.963585999999999</v>
      </c>
      <c r="N165">
        <f>VLOOKUP(A165,metadata!A:E,5,FALSE)</f>
        <v>-98.589060000000003</v>
      </c>
    </row>
    <row r="166" spans="1:14" ht="13" hidden="1" x14ac:dyDescent="0.6">
      <c r="A166" s="1" t="s">
        <v>187</v>
      </c>
      <c r="B166" s="1" t="s">
        <v>11</v>
      </c>
      <c r="C166" s="1" t="s">
        <v>11</v>
      </c>
      <c r="D166" s="1">
        <v>0.98631999999999997</v>
      </c>
      <c r="E166" s="1">
        <v>0</v>
      </c>
      <c r="F166" s="1">
        <v>0</v>
      </c>
      <c r="G166" s="1">
        <v>0</v>
      </c>
      <c r="H166" s="2">
        <v>1.0000000000000001E-5</v>
      </c>
      <c r="I166" s="1">
        <v>1.367E-2</v>
      </c>
      <c r="J166" s="1" t="s">
        <v>12</v>
      </c>
      <c r="K166" t="str">
        <f>VLOOKUP(A166,metadata!A:I,9,FALSE)</f>
        <v>KS</v>
      </c>
      <c r="L166" t="str">
        <f>VLOOKUP(A166,metadata!A:F,6,FALSE)</f>
        <v>SalinaKS</v>
      </c>
      <c r="M166">
        <f>VLOOKUP(A166,metadata!A:D,4,FALSE)</f>
        <v>38.842944000000003</v>
      </c>
      <c r="N166">
        <f>VLOOKUP(A166,metadata!A:E,5,FALSE)</f>
        <v>-97.588909000000001</v>
      </c>
    </row>
    <row r="167" spans="1:14" ht="13" hidden="1" x14ac:dyDescent="0.6">
      <c r="A167" s="1" t="s">
        <v>188</v>
      </c>
      <c r="B167" s="1" t="s">
        <v>11</v>
      </c>
      <c r="C167" s="1" t="s">
        <v>11</v>
      </c>
      <c r="D167" s="1">
        <v>0.99643999999999999</v>
      </c>
      <c r="E167" s="1">
        <v>0</v>
      </c>
      <c r="F167" s="1">
        <v>0</v>
      </c>
      <c r="G167" s="1">
        <v>0</v>
      </c>
      <c r="H167" s="1">
        <v>0</v>
      </c>
      <c r="I167" s="1">
        <v>3.5599999999999998E-3</v>
      </c>
      <c r="J167" s="1" t="s">
        <v>12</v>
      </c>
      <c r="K167" t="str">
        <f>VLOOKUP(A167,metadata!A:I,9,FALSE)</f>
        <v>KS</v>
      </c>
      <c r="L167" t="str">
        <f>VLOOKUP(A167,metadata!A:F,6,FALSE)</f>
        <v>SalinaKS</v>
      </c>
      <c r="M167">
        <f>VLOOKUP(A167,metadata!A:D,4,FALSE)</f>
        <v>38.842944000000003</v>
      </c>
      <c r="N167">
        <f>VLOOKUP(A167,metadata!A:E,5,FALSE)</f>
        <v>-97.588909000000001</v>
      </c>
    </row>
    <row r="168" spans="1:14" ht="13" hidden="1" x14ac:dyDescent="0.6">
      <c r="A168" s="1" t="s">
        <v>189</v>
      </c>
      <c r="B168" s="1" t="s">
        <v>11</v>
      </c>
      <c r="C168" s="1" t="s">
        <v>11</v>
      </c>
      <c r="D168" s="1">
        <v>0.98529</v>
      </c>
      <c r="E168" s="1">
        <v>0</v>
      </c>
      <c r="F168" s="1">
        <v>0</v>
      </c>
      <c r="G168" s="1">
        <v>0</v>
      </c>
      <c r="H168" s="1">
        <v>0</v>
      </c>
      <c r="I168" s="1">
        <v>1.4710000000000001E-2</v>
      </c>
      <c r="J168" s="1" t="s">
        <v>12</v>
      </c>
      <c r="K168" t="str">
        <f>VLOOKUP(A168,metadata!A:I,9,FALSE)</f>
        <v>IL</v>
      </c>
      <c r="L168" t="str">
        <f>VLOOKUP(A168,metadata!A:F,6,FALSE)</f>
        <v>ChickenbristleIL</v>
      </c>
      <c r="M168">
        <f>VLOOKUP(A168,metadata!A:D,4,FALSE)</f>
        <v>39.839311000000002</v>
      </c>
      <c r="N168">
        <f>VLOOKUP(A168,metadata!A:E,5,FALSE)</f>
        <v>-88.367744999999999</v>
      </c>
    </row>
    <row r="169" spans="1:14" ht="13" hidden="1" x14ac:dyDescent="0.6">
      <c r="A169" s="1" t="s">
        <v>190</v>
      </c>
      <c r="B169" s="1" t="s">
        <v>11</v>
      </c>
      <c r="C169" s="1" t="s">
        <v>11</v>
      </c>
      <c r="D169" s="1">
        <v>0.99263000000000001</v>
      </c>
      <c r="E169" s="1">
        <v>0</v>
      </c>
      <c r="F169" s="1">
        <v>0</v>
      </c>
      <c r="G169" s="1">
        <v>0</v>
      </c>
      <c r="H169" s="2">
        <v>1.0000000000000001E-5</v>
      </c>
      <c r="I169" s="1">
        <v>7.3600000000000002E-3</v>
      </c>
      <c r="J169" s="1" t="s">
        <v>12</v>
      </c>
      <c r="K169" t="str">
        <f>VLOOKUP(A169,metadata!A:I,9,FALSE)</f>
        <v>IL</v>
      </c>
      <c r="L169" t="str">
        <f>VLOOKUP(A169,metadata!A:F,6,FALSE)</f>
        <v>ChickenbristleIL</v>
      </c>
      <c r="M169">
        <f>VLOOKUP(A169,metadata!A:D,4,FALSE)</f>
        <v>39.839311000000002</v>
      </c>
      <c r="N169">
        <f>VLOOKUP(A169,metadata!A:E,5,FALSE)</f>
        <v>-88.367744999999999</v>
      </c>
    </row>
    <row r="170" spans="1:14" ht="13" hidden="1" x14ac:dyDescent="0.6">
      <c r="A170" s="1" t="s">
        <v>191</v>
      </c>
      <c r="B170" s="1" t="s">
        <v>11</v>
      </c>
      <c r="C170" s="1" t="s">
        <v>57</v>
      </c>
      <c r="D170" s="1">
        <v>0.89356999999999998</v>
      </c>
      <c r="E170" s="1">
        <v>0</v>
      </c>
      <c r="F170" s="1">
        <v>0</v>
      </c>
      <c r="G170" s="1">
        <v>0</v>
      </c>
      <c r="H170" s="2">
        <v>6.9999999999999994E-5</v>
      </c>
      <c r="I170" s="1">
        <v>0.10636</v>
      </c>
      <c r="J170" s="1" t="s">
        <v>58</v>
      </c>
      <c r="K170" t="str">
        <f>VLOOKUP(A170,metadata!A:I,9,FALSE)</f>
        <v>IL</v>
      </c>
      <c r="L170" t="str">
        <f>VLOOKUP(A170,metadata!A:F,6,FALSE)</f>
        <v>ChickenbristleIL</v>
      </c>
      <c r="M170">
        <f>VLOOKUP(A170,metadata!A:D,4,FALSE)</f>
        <v>39.839311000000002</v>
      </c>
      <c r="N170">
        <f>VLOOKUP(A170,metadata!A:E,5,FALSE)</f>
        <v>-88.367744999999999</v>
      </c>
    </row>
    <row r="171" spans="1:14" ht="13" hidden="1" x14ac:dyDescent="0.6">
      <c r="A171" s="1" t="s">
        <v>192</v>
      </c>
      <c r="B171" s="1" t="s">
        <v>54</v>
      </c>
      <c r="C171" s="1" t="s">
        <v>54</v>
      </c>
      <c r="D171" s="1">
        <v>0.99917</v>
      </c>
      <c r="E171" s="1">
        <v>0</v>
      </c>
      <c r="F171" s="1">
        <v>0</v>
      </c>
      <c r="G171" s="1">
        <v>0</v>
      </c>
      <c r="H171" s="1">
        <v>0</v>
      </c>
      <c r="I171" s="1">
        <v>8.3000000000000001E-4</v>
      </c>
      <c r="J171" s="1" t="s">
        <v>12</v>
      </c>
      <c r="K171" t="str">
        <f>VLOOKUP(A171,metadata!A:I,9,FALSE)</f>
        <v>IL</v>
      </c>
      <c r="L171" t="str">
        <f>VLOOKUP(A171,metadata!A:F,6,FALSE)</f>
        <v>ChickenbristleIL</v>
      </c>
      <c r="M171">
        <f>VLOOKUP(A171,metadata!A:D,4,FALSE)</f>
        <v>39.839311000000002</v>
      </c>
      <c r="N171">
        <f>VLOOKUP(A171,metadata!A:E,5,FALSE)</f>
        <v>-88.367744999999999</v>
      </c>
    </row>
    <row r="172" spans="1:14" ht="13" hidden="1" x14ac:dyDescent="0.6">
      <c r="A172" s="1" t="s">
        <v>193</v>
      </c>
      <c r="B172" s="1" t="s">
        <v>11</v>
      </c>
      <c r="C172" s="1" t="s">
        <v>11</v>
      </c>
      <c r="D172" s="1">
        <v>0.99912000000000001</v>
      </c>
      <c r="E172" s="1">
        <v>0</v>
      </c>
      <c r="F172" s="1">
        <v>0</v>
      </c>
      <c r="G172" s="1">
        <v>0</v>
      </c>
      <c r="H172" s="2">
        <v>1.0000000000000001E-5</v>
      </c>
      <c r="I172" s="1">
        <v>8.7000000000000001E-4</v>
      </c>
      <c r="J172" s="1" t="s">
        <v>12</v>
      </c>
      <c r="K172" t="str">
        <f>VLOOKUP(A172,metadata!A:I,9,FALSE)</f>
        <v>IL</v>
      </c>
      <c r="L172" t="str">
        <f>VLOOKUP(A172,metadata!A:F,6,FALSE)</f>
        <v>ChickenbristleIL</v>
      </c>
      <c r="M172">
        <f>VLOOKUP(A172,metadata!A:D,4,FALSE)</f>
        <v>39.839311000000002</v>
      </c>
      <c r="N172">
        <f>VLOOKUP(A172,metadata!A:E,5,FALSE)</f>
        <v>-88.367744999999999</v>
      </c>
    </row>
    <row r="173" spans="1:14" ht="13" hidden="1" x14ac:dyDescent="0.6">
      <c r="A173" s="1" t="s">
        <v>194</v>
      </c>
      <c r="B173" s="1" t="s">
        <v>11</v>
      </c>
      <c r="C173" s="1" t="s">
        <v>11</v>
      </c>
      <c r="D173" s="1">
        <v>0.99856</v>
      </c>
      <c r="E173" s="1">
        <v>0</v>
      </c>
      <c r="F173" s="1">
        <v>0</v>
      </c>
      <c r="G173" s="1">
        <v>0</v>
      </c>
      <c r="H173" s="1">
        <v>0</v>
      </c>
      <c r="I173" s="1">
        <v>1.4400000000000001E-3</v>
      </c>
      <c r="J173" s="1" t="s">
        <v>12</v>
      </c>
      <c r="K173" t="str">
        <f>VLOOKUP(A173,metadata!A:I,9,FALSE)</f>
        <v>IL</v>
      </c>
      <c r="L173" t="str">
        <f>VLOOKUP(A173,metadata!A:F,6,FALSE)</f>
        <v>ShawneeIL</v>
      </c>
      <c r="M173">
        <f>VLOOKUP(A173,metadata!A:D,4,FALSE)</f>
        <v>37.514919999999996</v>
      </c>
      <c r="N173">
        <f>VLOOKUP(A173,metadata!A:E,5,FALSE)</f>
        <v>-89.444500000000005</v>
      </c>
    </row>
    <row r="174" spans="1:14" ht="13" hidden="1" x14ac:dyDescent="0.6">
      <c r="A174" s="1" t="s">
        <v>195</v>
      </c>
      <c r="B174" s="1" t="s">
        <v>11</v>
      </c>
      <c r="C174" s="1" t="s">
        <v>11</v>
      </c>
      <c r="D174" s="1">
        <v>0.99204000000000003</v>
      </c>
      <c r="E174" s="1">
        <v>0</v>
      </c>
      <c r="F174" s="1">
        <v>0</v>
      </c>
      <c r="G174" s="1">
        <v>0</v>
      </c>
      <c r="H174" s="1">
        <v>0</v>
      </c>
      <c r="I174" s="1">
        <v>7.9600000000000001E-3</v>
      </c>
      <c r="J174" s="1" t="s">
        <v>12</v>
      </c>
      <c r="K174" t="str">
        <f>VLOOKUP(A174,metadata!A:I,9,FALSE)</f>
        <v>IL</v>
      </c>
      <c r="L174" t="str">
        <f>VLOOKUP(A174,metadata!A:F,6,FALSE)</f>
        <v>ShawneeIL</v>
      </c>
      <c r="M174">
        <f>VLOOKUP(A174,metadata!A:D,4,FALSE)</f>
        <v>37.516390000000001</v>
      </c>
      <c r="N174">
        <f>VLOOKUP(A174,metadata!A:E,5,FALSE)</f>
        <v>-89.445350000000005</v>
      </c>
    </row>
    <row r="175" spans="1:14" ht="13" hidden="1" x14ac:dyDescent="0.6">
      <c r="A175" s="1" t="s">
        <v>196</v>
      </c>
      <c r="B175" s="1" t="s">
        <v>11</v>
      </c>
      <c r="C175" s="1" t="s">
        <v>11</v>
      </c>
      <c r="D175" s="1">
        <v>0.99531000000000003</v>
      </c>
      <c r="E175" s="1">
        <v>0</v>
      </c>
      <c r="F175" s="1">
        <v>0</v>
      </c>
      <c r="G175" s="1">
        <v>0</v>
      </c>
      <c r="H175" s="1">
        <v>0</v>
      </c>
      <c r="I175" s="1">
        <v>4.6899999999999997E-3</v>
      </c>
      <c r="J175" s="1" t="s">
        <v>12</v>
      </c>
      <c r="K175" t="str">
        <f>VLOOKUP(A175,metadata!A:I,9,FALSE)</f>
        <v>IL</v>
      </c>
      <c r="L175" t="str">
        <f>VLOOKUP(A175,metadata!A:F,6,FALSE)</f>
        <v>ShawneeIL</v>
      </c>
      <c r="M175">
        <f>VLOOKUP(A175,metadata!A:D,4,FALSE)</f>
        <v>37.516509999999997</v>
      </c>
      <c r="N175">
        <f>VLOOKUP(A175,metadata!A:E,5,FALSE)</f>
        <v>-89.445419999999999</v>
      </c>
    </row>
    <row r="176" spans="1:14" ht="13" hidden="1" x14ac:dyDescent="0.6">
      <c r="A176" s="1" t="s">
        <v>197</v>
      </c>
      <c r="B176" s="1" t="s">
        <v>11</v>
      </c>
      <c r="C176" s="1" t="s">
        <v>11</v>
      </c>
      <c r="D176" s="1">
        <v>0.99045000000000005</v>
      </c>
      <c r="E176" s="1">
        <v>0</v>
      </c>
      <c r="F176" s="1">
        <v>0</v>
      </c>
      <c r="G176" s="1">
        <v>0</v>
      </c>
      <c r="H176" s="2">
        <v>1.0000000000000001E-5</v>
      </c>
      <c r="I176" s="1">
        <v>9.5399999999999999E-3</v>
      </c>
      <c r="J176" s="1" t="s">
        <v>12</v>
      </c>
      <c r="K176" t="str">
        <f>VLOOKUP(A176,metadata!A:I,9,FALSE)</f>
        <v>IL</v>
      </c>
      <c r="L176" t="str">
        <f>VLOOKUP(A176,metadata!A:F,6,FALSE)</f>
        <v>ShawneeIL</v>
      </c>
      <c r="M176">
        <f>VLOOKUP(A176,metadata!A:D,4,FALSE)</f>
        <v>37.51726</v>
      </c>
      <c r="N176">
        <f>VLOOKUP(A176,metadata!A:E,5,FALSE)</f>
        <v>-89.445840000000004</v>
      </c>
    </row>
    <row r="177" spans="1:14" ht="13" hidden="1" x14ac:dyDescent="0.6">
      <c r="A177" s="1" t="s">
        <v>198</v>
      </c>
      <c r="B177" s="1" t="s">
        <v>11</v>
      </c>
      <c r="C177" s="1" t="s">
        <v>11</v>
      </c>
      <c r="D177" s="1">
        <v>0.99722999999999995</v>
      </c>
      <c r="E177" s="1">
        <v>0</v>
      </c>
      <c r="F177" s="1">
        <v>0</v>
      </c>
      <c r="G177" s="1">
        <v>0</v>
      </c>
      <c r="H177" s="1">
        <v>0</v>
      </c>
      <c r="I177" s="1">
        <v>2.7699999999999999E-3</v>
      </c>
      <c r="J177" s="1" t="s">
        <v>12</v>
      </c>
      <c r="K177" t="str">
        <f>VLOOKUP(A177,metadata!A:I,9,FALSE)</f>
        <v>IN</v>
      </c>
      <c r="L177" t="str">
        <f>VLOOKUP(A177,metadata!A:F,6,FALSE)</f>
        <v>SpringMillIN</v>
      </c>
      <c r="M177">
        <f>VLOOKUP(A177,metadata!A:D,4,FALSE)</f>
        <v>38.736199999999997</v>
      </c>
      <c r="N177">
        <f>VLOOKUP(A177,metadata!A:E,5,FALSE)</f>
        <v>-86.412570000000002</v>
      </c>
    </row>
    <row r="178" spans="1:14" ht="13" hidden="1" x14ac:dyDescent="0.6">
      <c r="A178" s="1" t="s">
        <v>199</v>
      </c>
      <c r="B178" s="1" t="s">
        <v>11</v>
      </c>
      <c r="C178" s="1" t="s">
        <v>11</v>
      </c>
      <c r="D178" s="1">
        <v>0.99373999999999996</v>
      </c>
      <c r="E178" s="1">
        <v>0</v>
      </c>
      <c r="F178" s="1">
        <v>0</v>
      </c>
      <c r="G178" s="1">
        <v>0</v>
      </c>
      <c r="H178" s="2">
        <v>1.0000000000000001E-5</v>
      </c>
      <c r="I178" s="1">
        <v>6.2599999999999999E-3</v>
      </c>
      <c r="J178" s="1" t="s">
        <v>12</v>
      </c>
      <c r="K178" t="str">
        <f>VLOOKUP(A178,metadata!A:I,9,FALSE)</f>
        <v>IN</v>
      </c>
      <c r="L178" t="str">
        <f>VLOOKUP(A178,metadata!A:F,6,FALSE)</f>
        <v>SpringMillIN</v>
      </c>
      <c r="M178">
        <f>VLOOKUP(A178,metadata!A:D,4,FALSE)</f>
        <v>38.73603</v>
      </c>
      <c r="N178">
        <f>VLOOKUP(A178,metadata!A:E,5,FALSE)</f>
        <v>-86.412549999999996</v>
      </c>
    </row>
    <row r="179" spans="1:14" ht="13" hidden="1" x14ac:dyDescent="0.6">
      <c r="A179" s="1" t="s">
        <v>200</v>
      </c>
      <c r="B179" s="1" t="s">
        <v>54</v>
      </c>
      <c r="C179" s="1" t="s">
        <v>54</v>
      </c>
      <c r="D179" s="1">
        <v>0.99922999999999995</v>
      </c>
      <c r="E179" s="1">
        <v>0</v>
      </c>
      <c r="F179" s="1">
        <v>0</v>
      </c>
      <c r="G179" s="1">
        <v>0</v>
      </c>
      <c r="H179" s="2">
        <v>2.0000000000000002E-5</v>
      </c>
      <c r="I179" s="1">
        <v>7.5000000000000002E-4</v>
      </c>
      <c r="J179" s="1" t="s">
        <v>12</v>
      </c>
      <c r="K179" t="str">
        <f>VLOOKUP(A179,metadata!A:I,9,FALSE)</f>
        <v>IN</v>
      </c>
      <c r="L179" t="str">
        <f>VLOOKUP(A179,metadata!A:F,6,FALSE)</f>
        <v>SpringMillIN</v>
      </c>
      <c r="M179">
        <f>VLOOKUP(A179,metadata!A:D,4,FALSE)</f>
        <v>38.736310000000003</v>
      </c>
      <c r="N179">
        <f>VLOOKUP(A179,metadata!A:E,5,FALSE)</f>
        <v>-86.414339999999996</v>
      </c>
    </row>
    <row r="180" spans="1:14" ht="13" hidden="1" x14ac:dyDescent="0.6">
      <c r="A180" s="1" t="s">
        <v>201</v>
      </c>
      <c r="B180" s="1" t="s">
        <v>11</v>
      </c>
      <c r="C180" s="1" t="s">
        <v>11</v>
      </c>
      <c r="D180" s="1">
        <v>0.97685999999999995</v>
      </c>
      <c r="E180" s="1">
        <v>0</v>
      </c>
      <c r="F180" s="1">
        <v>0</v>
      </c>
      <c r="G180" s="1">
        <v>0</v>
      </c>
      <c r="H180" s="2">
        <v>5.0000000000000002E-5</v>
      </c>
      <c r="I180" s="1">
        <v>2.3099999999999999E-2</v>
      </c>
      <c r="J180" s="1" t="s">
        <v>12</v>
      </c>
      <c r="K180" t="str">
        <f>VLOOKUP(A180,metadata!A:I,9,FALSE)</f>
        <v>IN</v>
      </c>
      <c r="L180" t="str">
        <f>VLOOKUP(A180,metadata!A:F,6,FALSE)</f>
        <v>SpringMillIN</v>
      </c>
      <c r="M180">
        <f>VLOOKUP(A180,metadata!A:D,4,FALSE)</f>
        <v>38.738329999999998</v>
      </c>
      <c r="N180">
        <f>VLOOKUP(A180,metadata!A:E,5,FALSE)</f>
        <v>-86.413460000000001</v>
      </c>
    </row>
    <row r="181" spans="1:14" ht="13" hidden="1" x14ac:dyDescent="0.6">
      <c r="A181" s="1" t="s">
        <v>202</v>
      </c>
      <c r="B181" s="1" t="s">
        <v>96</v>
      </c>
      <c r="C181" s="1" t="s">
        <v>96</v>
      </c>
      <c r="D181" s="1">
        <v>0.99983999999999995</v>
      </c>
      <c r="E181" s="1">
        <v>0</v>
      </c>
      <c r="F181" s="1">
        <v>0</v>
      </c>
      <c r="G181" s="1">
        <v>0</v>
      </c>
      <c r="H181" s="1">
        <v>0</v>
      </c>
      <c r="I181" s="1">
        <v>1.6000000000000001E-4</v>
      </c>
      <c r="J181" s="1" t="s">
        <v>12</v>
      </c>
      <c r="K181" t="str">
        <f>VLOOKUP(A181,metadata!A:I,9,FALSE)</f>
        <v>IN</v>
      </c>
      <c r="L181" t="str">
        <f>VLOOKUP(A181,metadata!A:F,6,FALSE)</f>
        <v>SpringMillIN</v>
      </c>
      <c r="M181">
        <f>VLOOKUP(A181,metadata!A:D,4,FALSE)</f>
        <v>38.737430000000003</v>
      </c>
      <c r="N181">
        <f>VLOOKUP(A181,metadata!A:E,5,FALSE)</f>
        <v>-86.412629999999993</v>
      </c>
    </row>
    <row r="182" spans="1:14" ht="13" hidden="1" x14ac:dyDescent="0.6">
      <c r="A182" s="1" t="s">
        <v>203</v>
      </c>
      <c r="B182" s="1" t="s">
        <v>19</v>
      </c>
      <c r="C182" s="1" t="s">
        <v>204</v>
      </c>
      <c r="D182" s="1">
        <v>0</v>
      </c>
      <c r="E182" s="1">
        <v>0.99997999999999998</v>
      </c>
      <c r="F182" s="1">
        <v>0</v>
      </c>
      <c r="G182" s="2">
        <v>2.0000000000000002E-5</v>
      </c>
      <c r="H182" s="1">
        <v>0</v>
      </c>
      <c r="I182" s="1">
        <v>0</v>
      </c>
      <c r="J182" s="1" t="s">
        <v>4</v>
      </c>
      <c r="K182" t="str">
        <f>VLOOKUP(A182,metadata!A:I,9,FALSE)</f>
        <v>IN</v>
      </c>
      <c r="L182" t="str">
        <f>VLOOKUP(A182,metadata!A:F,6,FALSE)</f>
        <v>TaylorIN</v>
      </c>
      <c r="M182">
        <f>VLOOKUP(A182,metadata!A:D,4,FALSE)</f>
        <v>40.457909999999998</v>
      </c>
      <c r="N182">
        <f>VLOOKUP(A182,metadata!A:E,5,FALSE)</f>
        <v>-85.50685</v>
      </c>
    </row>
    <row r="183" spans="1:14" ht="13" hidden="1" x14ac:dyDescent="0.6">
      <c r="A183" s="1" t="s">
        <v>205</v>
      </c>
      <c r="B183" s="1" t="s">
        <v>11</v>
      </c>
      <c r="C183" s="1" t="s">
        <v>11</v>
      </c>
      <c r="D183" s="1">
        <v>0.92484</v>
      </c>
      <c r="E183" s="1">
        <v>0</v>
      </c>
      <c r="F183" s="1">
        <v>0</v>
      </c>
      <c r="G183" s="1">
        <v>0</v>
      </c>
      <c r="H183" s="2">
        <v>6.9999999999999994E-5</v>
      </c>
      <c r="I183" s="1">
        <v>7.5090000000000004E-2</v>
      </c>
      <c r="J183" s="1" t="s">
        <v>12</v>
      </c>
      <c r="K183" t="str">
        <f>VLOOKUP(A183,metadata!A:I,9,FALSE)</f>
        <v>IN</v>
      </c>
      <c r="L183" t="str">
        <f>VLOOKUP(A183,metadata!A:F,6,FALSE)</f>
        <v>TaylorIN</v>
      </c>
      <c r="M183">
        <f>VLOOKUP(A183,metadata!A:D,4,FALSE)</f>
        <v>40.459159999999997</v>
      </c>
      <c r="N183">
        <f>VLOOKUP(A183,metadata!A:E,5,FALSE)</f>
        <v>-85.508070000000004</v>
      </c>
    </row>
    <row r="184" spans="1:14" ht="13" hidden="1" x14ac:dyDescent="0.6">
      <c r="A184" s="1" t="s">
        <v>206</v>
      </c>
      <c r="B184" s="1" t="s">
        <v>19</v>
      </c>
      <c r="C184" s="1" t="s">
        <v>20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 t="s">
        <v>4</v>
      </c>
      <c r="K184" t="str">
        <f>VLOOKUP(A184,metadata!A:I,9,FALSE)</f>
        <v>IN</v>
      </c>
      <c r="L184" t="str">
        <f>VLOOKUP(A184,metadata!A:F,6,FALSE)</f>
        <v>TaylorIN</v>
      </c>
      <c r="M184">
        <f>VLOOKUP(A184,metadata!A:D,4,FALSE)</f>
        <v>40.459110000000003</v>
      </c>
      <c r="N184">
        <f>VLOOKUP(A184,metadata!A:E,5,FALSE)</f>
        <v>-85.508780000000002</v>
      </c>
    </row>
    <row r="185" spans="1:14" ht="13" hidden="1" x14ac:dyDescent="0.6">
      <c r="A185" s="1" t="s">
        <v>207</v>
      </c>
      <c r="B185" s="1" t="s">
        <v>54</v>
      </c>
      <c r="C185" s="1" t="s">
        <v>54</v>
      </c>
      <c r="D185" s="1">
        <v>0.99968999999999997</v>
      </c>
      <c r="E185" s="1">
        <v>0</v>
      </c>
      <c r="F185" s="1">
        <v>0</v>
      </c>
      <c r="G185" s="1">
        <v>0</v>
      </c>
      <c r="H185" s="1">
        <v>0</v>
      </c>
      <c r="I185" s="1">
        <v>3.1E-4</v>
      </c>
      <c r="J185" s="1" t="s">
        <v>12</v>
      </c>
      <c r="K185" t="str">
        <f>VLOOKUP(A185,metadata!A:I,9,FALSE)</f>
        <v>IN</v>
      </c>
      <c r="L185" t="str">
        <f>VLOOKUP(A185,metadata!A:F,6,FALSE)</f>
        <v>TaylorIN</v>
      </c>
      <c r="M185">
        <f>VLOOKUP(A185,metadata!A:D,4,FALSE)</f>
        <v>40.459110000000003</v>
      </c>
      <c r="N185">
        <f>VLOOKUP(A185,metadata!A:E,5,FALSE)</f>
        <v>-85.509169999999997</v>
      </c>
    </row>
    <row r="186" spans="1:14" ht="13" hidden="1" x14ac:dyDescent="0.6">
      <c r="A186" s="1" t="s">
        <v>208</v>
      </c>
      <c r="B186" s="1" t="s">
        <v>54</v>
      </c>
      <c r="C186" s="1" t="s">
        <v>54</v>
      </c>
      <c r="D186" s="1">
        <v>0.99782999999999999</v>
      </c>
      <c r="E186" s="1">
        <v>0</v>
      </c>
      <c r="F186" s="1">
        <v>0</v>
      </c>
      <c r="G186" s="1">
        <v>0</v>
      </c>
      <c r="H186" s="2">
        <v>6.9999999999999994E-5</v>
      </c>
      <c r="I186" s="1">
        <v>2.0899999999999998E-3</v>
      </c>
      <c r="J186" s="1" t="s">
        <v>12</v>
      </c>
      <c r="K186" t="str">
        <f>VLOOKUP(A186,metadata!A:I,9,FALSE)</f>
        <v>IN</v>
      </c>
      <c r="L186" t="str">
        <f>VLOOKUP(A186,metadata!A:F,6,FALSE)</f>
        <v>TaylorIN</v>
      </c>
      <c r="M186">
        <f>VLOOKUP(A186,metadata!A:D,4,FALSE)</f>
        <v>40.459159999999997</v>
      </c>
      <c r="N186">
        <f>VLOOKUP(A186,metadata!A:E,5,FALSE)</f>
        <v>-85.509730000000005</v>
      </c>
    </row>
    <row r="187" spans="1:14" ht="13" hidden="1" x14ac:dyDescent="0.6">
      <c r="A187" s="1" t="s">
        <v>209</v>
      </c>
      <c r="B187" s="1" t="s">
        <v>11</v>
      </c>
      <c r="C187" s="1" t="s">
        <v>11</v>
      </c>
      <c r="D187" s="1">
        <v>0.99968000000000001</v>
      </c>
      <c r="E187" s="1">
        <v>0</v>
      </c>
      <c r="F187" s="1">
        <v>0</v>
      </c>
      <c r="G187" s="1">
        <v>0</v>
      </c>
      <c r="H187" s="1">
        <v>0</v>
      </c>
      <c r="I187" s="1">
        <v>3.2000000000000003E-4</v>
      </c>
      <c r="J187" s="1" t="s">
        <v>12</v>
      </c>
      <c r="K187" t="str">
        <f>VLOOKUP(A187,metadata!A:I,9,FALSE)</f>
        <v>IN</v>
      </c>
      <c r="L187" t="str">
        <f>VLOOKUP(A187,metadata!A:F,6,FALSE)</f>
        <v>HobartIN</v>
      </c>
      <c r="M187">
        <f>VLOOKUP(A187,metadata!A:D,4,FALSE)</f>
        <v>41.532730000000001</v>
      </c>
      <c r="N187">
        <f>VLOOKUP(A187,metadata!A:E,5,FALSE)</f>
        <v>-87.294799999999995</v>
      </c>
    </row>
    <row r="188" spans="1:14" ht="13" hidden="1" x14ac:dyDescent="0.6">
      <c r="A188" s="1" t="s">
        <v>210</v>
      </c>
      <c r="B188" s="1" t="s">
        <v>11</v>
      </c>
      <c r="C188" s="1" t="s">
        <v>11</v>
      </c>
      <c r="D188" s="1">
        <v>0.99955000000000005</v>
      </c>
      <c r="E188" s="1">
        <v>0</v>
      </c>
      <c r="F188" s="1">
        <v>0</v>
      </c>
      <c r="G188" s="1">
        <v>0</v>
      </c>
      <c r="H188" s="1">
        <v>0</v>
      </c>
      <c r="I188" s="1">
        <v>4.4999999999999999E-4</v>
      </c>
      <c r="J188" s="1" t="s">
        <v>12</v>
      </c>
      <c r="K188" t="str">
        <f>VLOOKUP(A188,metadata!A:I,9,FALSE)</f>
        <v>IN</v>
      </c>
      <c r="L188" t="str">
        <f>VLOOKUP(A188,metadata!A:F,6,FALSE)</f>
        <v>HobartIN</v>
      </c>
      <c r="M188">
        <f>VLOOKUP(A188,metadata!A:D,4,FALSE)</f>
        <v>41.534030000000001</v>
      </c>
      <c r="N188">
        <f>VLOOKUP(A188,metadata!A:E,5,FALSE)</f>
        <v>-87.291460000000001</v>
      </c>
    </row>
    <row r="189" spans="1:14" ht="13" hidden="1" x14ac:dyDescent="0.6">
      <c r="A189" s="1" t="s">
        <v>211</v>
      </c>
      <c r="B189" s="1" t="s">
        <v>11</v>
      </c>
      <c r="C189" s="1" t="s">
        <v>11</v>
      </c>
      <c r="D189" s="1">
        <v>0.99770999999999999</v>
      </c>
      <c r="E189" s="1">
        <v>0</v>
      </c>
      <c r="F189" s="1">
        <v>0</v>
      </c>
      <c r="G189" s="1">
        <v>0</v>
      </c>
      <c r="H189" s="1">
        <v>0</v>
      </c>
      <c r="I189" s="1">
        <v>2.2899999999999999E-3</v>
      </c>
      <c r="J189" s="1" t="s">
        <v>12</v>
      </c>
      <c r="K189" t="str">
        <f>VLOOKUP(A189,metadata!A:I,9,FALSE)</f>
        <v>IN</v>
      </c>
      <c r="L189" t="str">
        <f>VLOOKUP(A189,metadata!A:F,6,FALSE)</f>
        <v>HobartIN</v>
      </c>
      <c r="M189">
        <f>VLOOKUP(A189,metadata!A:D,4,FALSE)</f>
        <v>41.532389999999999</v>
      </c>
      <c r="N189">
        <f>VLOOKUP(A189,metadata!A:E,5,FALSE)</f>
        <v>-87.297079999999994</v>
      </c>
    </row>
    <row r="190" spans="1:14" ht="13" hidden="1" x14ac:dyDescent="0.6">
      <c r="A190" s="1" t="s">
        <v>212</v>
      </c>
      <c r="B190" s="1" t="s">
        <v>54</v>
      </c>
      <c r="C190" s="1" t="s">
        <v>54</v>
      </c>
      <c r="D190" s="1">
        <v>0.99858000000000002</v>
      </c>
      <c r="E190" s="1">
        <v>0</v>
      </c>
      <c r="F190" s="1">
        <v>0</v>
      </c>
      <c r="G190" s="1">
        <v>0</v>
      </c>
      <c r="H190" s="1">
        <v>0</v>
      </c>
      <c r="I190" s="1">
        <v>1.41E-3</v>
      </c>
      <c r="J190" s="1" t="s">
        <v>12</v>
      </c>
      <c r="K190" t="str">
        <f>VLOOKUP(A190,metadata!A:I,9,FALSE)</f>
        <v>IN</v>
      </c>
      <c r="L190" t="str">
        <f>VLOOKUP(A190,metadata!A:F,6,FALSE)</f>
        <v>DunesIN</v>
      </c>
      <c r="M190">
        <f>VLOOKUP(A190,metadata!A:D,4,FALSE)</f>
        <v>41.657380000000003</v>
      </c>
      <c r="N190">
        <f>VLOOKUP(A190,metadata!A:E,5,FALSE)</f>
        <v>-87.060450000000003</v>
      </c>
    </row>
    <row r="191" spans="1:14" ht="13" hidden="1" x14ac:dyDescent="0.6">
      <c r="A191" s="1" t="s">
        <v>213</v>
      </c>
      <c r="B191" s="1" t="s">
        <v>54</v>
      </c>
      <c r="C191" s="1" t="s">
        <v>54</v>
      </c>
      <c r="D191" s="1">
        <v>0.99968999999999997</v>
      </c>
      <c r="E191" s="1">
        <v>0</v>
      </c>
      <c r="F191" s="1">
        <v>0</v>
      </c>
      <c r="G191" s="1">
        <v>0</v>
      </c>
      <c r="H191" s="1">
        <v>0</v>
      </c>
      <c r="I191" s="1">
        <v>3.1E-4</v>
      </c>
      <c r="J191" s="1" t="s">
        <v>12</v>
      </c>
      <c r="K191" t="str">
        <f>VLOOKUP(A191,metadata!A:I,9,FALSE)</f>
        <v>IN</v>
      </c>
      <c r="L191" t="str">
        <f>VLOOKUP(A191,metadata!A:F,6,FALSE)</f>
        <v>DunesIN</v>
      </c>
      <c r="M191">
        <f>VLOOKUP(A191,metadata!A:D,4,FALSE)</f>
        <v>41.659550000000003</v>
      </c>
      <c r="N191">
        <f>VLOOKUP(A191,metadata!A:E,5,FALSE)</f>
        <v>-87.062179999999998</v>
      </c>
    </row>
    <row r="192" spans="1:14" ht="13" hidden="1" x14ac:dyDescent="0.6">
      <c r="A192" s="1" t="s">
        <v>214</v>
      </c>
      <c r="B192" s="1" t="s">
        <v>54</v>
      </c>
      <c r="C192" s="1" t="s">
        <v>54</v>
      </c>
      <c r="D192" s="1">
        <v>0.99887999999999999</v>
      </c>
      <c r="E192" s="1">
        <v>0</v>
      </c>
      <c r="F192" s="1">
        <v>0</v>
      </c>
      <c r="G192" s="1">
        <v>0</v>
      </c>
      <c r="H192" s="2">
        <v>3.0000000000000001E-5</v>
      </c>
      <c r="I192" s="1">
        <v>1.09E-3</v>
      </c>
      <c r="J192" s="1" t="s">
        <v>12</v>
      </c>
      <c r="K192" t="str">
        <f>VLOOKUP(A192,metadata!A:I,9,FALSE)</f>
        <v>IN</v>
      </c>
      <c r="L192" t="str">
        <f>VLOOKUP(A192,metadata!A:F,6,FALSE)</f>
        <v>DunesIN</v>
      </c>
      <c r="M192">
        <f>VLOOKUP(A192,metadata!A:D,4,FALSE)</f>
        <v>41.659469999999999</v>
      </c>
      <c r="N192">
        <f>VLOOKUP(A192,metadata!A:E,5,FALSE)</f>
        <v>-87.049940000000007</v>
      </c>
    </row>
    <row r="193" spans="1:14" ht="13" hidden="1" x14ac:dyDescent="0.6">
      <c r="A193" s="1" t="s">
        <v>215</v>
      </c>
      <c r="B193" s="1" t="s">
        <v>11</v>
      </c>
      <c r="C193" s="1" t="s">
        <v>11</v>
      </c>
      <c r="D193" s="1">
        <v>0.99914000000000003</v>
      </c>
      <c r="E193" s="1">
        <v>0</v>
      </c>
      <c r="F193" s="1">
        <v>0</v>
      </c>
      <c r="G193" s="1">
        <v>0</v>
      </c>
      <c r="H193" s="1">
        <v>0</v>
      </c>
      <c r="I193" s="1">
        <v>8.5999999999999998E-4</v>
      </c>
      <c r="J193" s="1" t="s">
        <v>12</v>
      </c>
      <c r="K193" t="str">
        <f>VLOOKUP(A193,metadata!A:I,9,FALSE)</f>
        <v>CT</v>
      </c>
      <c r="L193" t="str">
        <f>VLOOKUP(A193,metadata!A:F,6,FALSE)</f>
        <v>LitchfieldCT</v>
      </c>
      <c r="M193">
        <f>VLOOKUP(A193,metadata!A:D,4,FALSE)</f>
        <v>41.962330199999997</v>
      </c>
      <c r="N193">
        <f>VLOOKUP(A193,metadata!A:E,5,FALSE)</f>
        <v>-73.313005000000004</v>
      </c>
    </row>
    <row r="194" spans="1:14" ht="13" hidden="1" x14ac:dyDescent="0.6">
      <c r="A194" s="1" t="s">
        <v>216</v>
      </c>
      <c r="B194" s="1" t="s">
        <v>19</v>
      </c>
      <c r="C194" s="1" t="s">
        <v>57</v>
      </c>
      <c r="D194" s="1">
        <v>0</v>
      </c>
      <c r="E194" s="1">
        <v>1.9699999999999999E-2</v>
      </c>
      <c r="F194" s="1">
        <v>0.98026000000000002</v>
      </c>
      <c r="G194" s="2">
        <v>4.0000000000000003E-5</v>
      </c>
      <c r="H194" s="1">
        <v>0</v>
      </c>
      <c r="I194" s="1">
        <v>0</v>
      </c>
      <c r="J194" s="1" t="s">
        <v>5</v>
      </c>
      <c r="K194" t="str">
        <f>VLOOKUP(A194,metadata!A:I,9,FALSE)</f>
        <v>MA</v>
      </c>
      <c r="L194" t="str">
        <f>VLOOKUP(A194,metadata!A:F,6,FALSE)</f>
        <v>BerkshireMA</v>
      </c>
      <c r="M194">
        <f>VLOOKUP(A194,metadata!A:D,4,FALSE)</f>
        <v>42.166586899999999</v>
      </c>
      <c r="N194">
        <f>VLOOKUP(A194,metadata!A:E,5,FALSE)</f>
        <v>-73.412025</v>
      </c>
    </row>
    <row r="195" spans="1:14" ht="13" hidden="1" x14ac:dyDescent="0.6">
      <c r="A195" s="1" t="s">
        <v>217</v>
      </c>
      <c r="B195" s="1" t="s">
        <v>11</v>
      </c>
      <c r="C195" s="1" t="s">
        <v>57</v>
      </c>
      <c r="D195" s="1">
        <v>0.82450000000000001</v>
      </c>
      <c r="E195" s="1">
        <v>0</v>
      </c>
      <c r="F195" s="1">
        <v>0</v>
      </c>
      <c r="G195" s="1">
        <v>0</v>
      </c>
      <c r="H195" s="1">
        <v>7.6000000000000004E-4</v>
      </c>
      <c r="I195" s="1">
        <v>0.17473</v>
      </c>
      <c r="J195" s="1" t="s">
        <v>58</v>
      </c>
      <c r="K195" t="str">
        <f>VLOOKUP(A195,metadata!A:I,9,FALSE)</f>
        <v>MA</v>
      </c>
      <c r="L195" t="str">
        <f>VLOOKUP(A195,metadata!A:F,6,FALSE)</f>
        <v>BerkshireMA</v>
      </c>
      <c r="M195">
        <f>VLOOKUP(A195,metadata!A:D,4,FALSE)</f>
        <v>42.166649399999997</v>
      </c>
      <c r="N195">
        <f>VLOOKUP(A195,metadata!A:E,5,FALSE)</f>
        <v>-73.412090000000006</v>
      </c>
    </row>
    <row r="196" spans="1:14" ht="13" hidden="1" x14ac:dyDescent="0.6">
      <c r="A196" s="1" t="s">
        <v>218</v>
      </c>
      <c r="B196" s="1" t="s">
        <v>11</v>
      </c>
      <c r="C196" s="1" t="s">
        <v>11</v>
      </c>
      <c r="D196" s="1">
        <v>0.97591000000000006</v>
      </c>
      <c r="E196" s="1">
        <v>0</v>
      </c>
      <c r="F196" s="1">
        <v>0</v>
      </c>
      <c r="G196" s="1">
        <v>0</v>
      </c>
      <c r="H196" s="2">
        <v>2.0000000000000002E-5</v>
      </c>
      <c r="I196" s="1">
        <v>2.4070000000000001E-2</v>
      </c>
      <c r="J196" s="1" t="s">
        <v>12</v>
      </c>
      <c r="K196" t="str">
        <f>VLOOKUP(A196,metadata!A:I,9,FALSE)</f>
        <v>VT</v>
      </c>
      <c r="L196" t="str">
        <f>VLOOKUP(A196,metadata!A:F,6,FALSE)</f>
        <v>BenningtonVT</v>
      </c>
      <c r="M196">
        <f>VLOOKUP(A196,metadata!A:D,4,FALSE)</f>
        <v>42.910287599999997</v>
      </c>
      <c r="N196">
        <f>VLOOKUP(A196,metadata!A:E,5,FALSE)</f>
        <v>-73.219555999999997</v>
      </c>
    </row>
    <row r="197" spans="1:14" ht="13" hidden="1" x14ac:dyDescent="0.6">
      <c r="A197" s="1" t="s">
        <v>219</v>
      </c>
      <c r="B197" s="1" t="s">
        <v>11</v>
      </c>
      <c r="C197" s="1" t="s">
        <v>11</v>
      </c>
      <c r="D197" s="1">
        <v>0.95798000000000005</v>
      </c>
      <c r="E197" s="1">
        <v>0</v>
      </c>
      <c r="F197" s="1">
        <v>0</v>
      </c>
      <c r="G197" s="1">
        <v>0</v>
      </c>
      <c r="H197" s="1">
        <v>2.63E-3</v>
      </c>
      <c r="I197" s="1">
        <v>3.9390000000000001E-2</v>
      </c>
      <c r="J197" s="1" t="s">
        <v>12</v>
      </c>
      <c r="K197" t="str">
        <f>VLOOKUP(A197,metadata!A:I,9,FALSE)</f>
        <v>VT</v>
      </c>
      <c r="L197" t="str">
        <f>VLOOKUP(A197,metadata!A:F,6,FALSE)</f>
        <v>BenningtonVT</v>
      </c>
      <c r="M197">
        <f>VLOOKUP(A197,metadata!A:D,4,FALSE)</f>
        <v>42.910269</v>
      </c>
      <c r="N197">
        <f>VLOOKUP(A197,metadata!A:E,5,FALSE)</f>
        <v>-73.219521999999998</v>
      </c>
    </row>
    <row r="198" spans="1:14" ht="13" hidden="1" x14ac:dyDescent="0.6">
      <c r="A198" s="1" t="s">
        <v>220</v>
      </c>
      <c r="B198" s="1" t="s">
        <v>11</v>
      </c>
      <c r="C198" s="1" t="s">
        <v>11</v>
      </c>
      <c r="D198" s="1">
        <v>0.95555000000000001</v>
      </c>
      <c r="E198" s="1">
        <v>0</v>
      </c>
      <c r="F198" s="1">
        <v>0</v>
      </c>
      <c r="G198" s="1">
        <v>0</v>
      </c>
      <c r="H198" s="2">
        <v>2.0000000000000002E-5</v>
      </c>
      <c r="I198" s="1">
        <v>4.4429999999999997E-2</v>
      </c>
      <c r="J198" s="1" t="s">
        <v>12</v>
      </c>
      <c r="K198" t="str">
        <f>VLOOKUP(A198,metadata!A:I,9,FALSE)</f>
        <v>VT</v>
      </c>
      <c r="L198" t="str">
        <f>VLOOKUP(A198,metadata!A:F,6,FALSE)</f>
        <v>BenningtonVT</v>
      </c>
      <c r="M198">
        <f>VLOOKUP(A198,metadata!A:D,4,FALSE)</f>
        <v>42.909897000000001</v>
      </c>
      <c r="N198">
        <f>VLOOKUP(A198,metadata!A:E,5,FALSE)</f>
        <v>-73.218711999999996</v>
      </c>
    </row>
    <row r="199" spans="1:14" ht="13" hidden="1" x14ac:dyDescent="0.6">
      <c r="A199" s="1" t="s">
        <v>221</v>
      </c>
      <c r="B199" s="1" t="s">
        <v>54</v>
      </c>
      <c r="C199" s="1" t="s">
        <v>54</v>
      </c>
      <c r="D199" s="1">
        <v>0.99941999999999998</v>
      </c>
      <c r="E199" s="1">
        <v>0</v>
      </c>
      <c r="F199" s="1">
        <v>0</v>
      </c>
      <c r="G199" s="1">
        <v>0</v>
      </c>
      <c r="H199" s="2">
        <v>1.0000000000000001E-5</v>
      </c>
      <c r="I199" s="1">
        <v>5.6999999999999998E-4</v>
      </c>
      <c r="J199" s="1" t="s">
        <v>12</v>
      </c>
      <c r="K199" t="str">
        <f>VLOOKUP(A199,metadata!A:I,9,FALSE)</f>
        <v>VT</v>
      </c>
      <c r="L199" t="str">
        <f>VLOOKUP(A199,metadata!A:F,6,FALSE)</f>
        <v>RutlandVT</v>
      </c>
      <c r="M199">
        <f>VLOOKUP(A199,metadata!A:D,4,FALSE)</f>
        <v>43.604683000000001</v>
      </c>
      <c r="N199">
        <f>VLOOKUP(A199,metadata!A:E,5,FALSE)</f>
        <v>-73.180401000000003</v>
      </c>
    </row>
    <row r="200" spans="1:14" ht="13" hidden="1" x14ac:dyDescent="0.6">
      <c r="A200" s="1" t="s">
        <v>222</v>
      </c>
      <c r="B200" s="1" t="s">
        <v>19</v>
      </c>
      <c r="C200" s="1" t="s">
        <v>57</v>
      </c>
      <c r="D200" s="1">
        <v>0</v>
      </c>
      <c r="E200" s="1">
        <v>7.4700000000000001E-3</v>
      </c>
      <c r="F200" s="1">
        <v>0.9819</v>
      </c>
      <c r="G200" s="1">
        <v>1.0630000000000001E-2</v>
      </c>
      <c r="H200" s="1">
        <v>0</v>
      </c>
      <c r="I200" s="1">
        <v>0</v>
      </c>
      <c r="J200" s="1" t="s">
        <v>5</v>
      </c>
      <c r="K200" t="str">
        <f>VLOOKUP(A200,metadata!A:I,9,FALSE)</f>
        <v>VT</v>
      </c>
      <c r="L200" t="str">
        <f>VLOOKUP(A200,metadata!A:F,6,FALSE)</f>
        <v>RutlandVT</v>
      </c>
      <c r="M200">
        <f>VLOOKUP(A200,metadata!A:D,4,FALSE)</f>
        <v>43.583612299999999</v>
      </c>
      <c r="N200">
        <f>VLOOKUP(A200,metadata!A:E,5,FALSE)</f>
        <v>-73.202578000000003</v>
      </c>
    </row>
    <row r="201" spans="1:14" ht="13" hidden="1" x14ac:dyDescent="0.6">
      <c r="A201" s="1" t="s">
        <v>223</v>
      </c>
      <c r="B201" s="1" t="s">
        <v>11</v>
      </c>
      <c r="C201" s="1" t="s">
        <v>57</v>
      </c>
      <c r="D201" s="1">
        <v>6.8300000000000001E-3</v>
      </c>
      <c r="E201" s="1">
        <v>0</v>
      </c>
      <c r="F201" s="1">
        <v>0</v>
      </c>
      <c r="G201" s="2">
        <v>4.0000000000000002E-4</v>
      </c>
      <c r="H201" s="1">
        <v>0.10023</v>
      </c>
      <c r="I201" s="1">
        <v>0.89253000000000005</v>
      </c>
      <c r="J201" s="1" t="s">
        <v>145</v>
      </c>
      <c r="K201" t="str">
        <f>VLOOKUP(A201,metadata!A:I,9,FALSE)</f>
        <v>VT</v>
      </c>
      <c r="L201" t="str">
        <f>VLOOKUP(A201,metadata!A:F,6,FALSE)</f>
        <v>RutlandVT</v>
      </c>
      <c r="M201">
        <f>VLOOKUP(A201,metadata!A:D,4,FALSE)</f>
        <v>43.743234299999997</v>
      </c>
      <c r="N201">
        <f>VLOOKUP(A201,metadata!A:E,5,FALSE)</f>
        <v>-73.048410000000004</v>
      </c>
    </row>
    <row r="202" spans="1:14" ht="13" hidden="1" x14ac:dyDescent="0.6">
      <c r="A202" s="1" t="s">
        <v>224</v>
      </c>
      <c r="B202" s="1" t="s">
        <v>11</v>
      </c>
      <c r="C202" s="1" t="s">
        <v>11</v>
      </c>
      <c r="D202" s="1">
        <v>0.97008000000000005</v>
      </c>
      <c r="E202" s="1">
        <v>0</v>
      </c>
      <c r="F202" s="1">
        <v>0</v>
      </c>
      <c r="G202" s="1">
        <v>0</v>
      </c>
      <c r="H202" s="2">
        <v>1.0000000000000001E-5</v>
      </c>
      <c r="I202" s="1">
        <v>2.9909999999999999E-2</v>
      </c>
      <c r="J202" s="1" t="s">
        <v>12</v>
      </c>
      <c r="K202" t="str">
        <f>VLOOKUP(A202,metadata!A:I,9,FALSE)</f>
        <v>VT</v>
      </c>
      <c r="L202" t="str">
        <f>VLOOKUP(A202,metadata!A:F,6,FALSE)</f>
        <v>AddisonVT</v>
      </c>
      <c r="M202">
        <f>VLOOKUP(A202,metadata!A:D,4,FALSE)</f>
        <v>43.916670400000001</v>
      </c>
      <c r="N202">
        <f>VLOOKUP(A202,metadata!A:E,5,FALSE)</f>
        <v>-73.193560000000005</v>
      </c>
    </row>
    <row r="203" spans="1:14" ht="13" hidden="1" x14ac:dyDescent="0.6">
      <c r="A203" s="1" t="s">
        <v>225</v>
      </c>
      <c r="B203" s="1" t="s">
        <v>11</v>
      </c>
      <c r="C203" s="1" t="s">
        <v>11</v>
      </c>
      <c r="D203" s="1">
        <v>0.97236</v>
      </c>
      <c r="E203" s="1">
        <v>0</v>
      </c>
      <c r="F203" s="1">
        <v>0</v>
      </c>
      <c r="G203" s="1">
        <v>0</v>
      </c>
      <c r="H203" s="2">
        <v>2.0000000000000002E-5</v>
      </c>
      <c r="I203" s="1">
        <v>2.7619999999999999E-2</v>
      </c>
      <c r="J203" s="1" t="s">
        <v>12</v>
      </c>
      <c r="K203" t="str">
        <f>VLOOKUP(A203,metadata!A:I,9,FALSE)</f>
        <v>VT</v>
      </c>
      <c r="L203" t="str">
        <f>VLOOKUP(A203,metadata!A:F,6,FALSE)</f>
        <v>AddisonVT</v>
      </c>
      <c r="M203">
        <f>VLOOKUP(A203,metadata!A:D,4,FALSE)</f>
        <v>43.951352</v>
      </c>
      <c r="N203">
        <f>VLOOKUP(A203,metadata!A:E,5,FALSE)</f>
        <v>-73.222776999999994</v>
      </c>
    </row>
    <row r="204" spans="1:14" ht="13" hidden="1" x14ac:dyDescent="0.6">
      <c r="A204" s="1" t="s">
        <v>226</v>
      </c>
      <c r="B204" s="1" t="s">
        <v>11</v>
      </c>
      <c r="C204" s="1" t="s">
        <v>11</v>
      </c>
      <c r="D204" s="1">
        <v>0.92595000000000005</v>
      </c>
      <c r="E204" s="1">
        <v>0</v>
      </c>
      <c r="F204" s="1">
        <v>0</v>
      </c>
      <c r="G204" s="1">
        <v>0</v>
      </c>
      <c r="H204" s="1">
        <v>4.2999999999999999E-4</v>
      </c>
      <c r="I204" s="1">
        <v>7.3620000000000005E-2</v>
      </c>
      <c r="J204" s="1" t="s">
        <v>12</v>
      </c>
      <c r="K204" t="str">
        <f>VLOOKUP(A204,metadata!A:I,9,FALSE)</f>
        <v>VT</v>
      </c>
      <c r="L204" t="str">
        <f>VLOOKUP(A204,metadata!A:F,6,FALSE)</f>
        <v>AddisonVT</v>
      </c>
      <c r="M204">
        <f>VLOOKUP(A204,metadata!A:D,4,FALSE)</f>
        <v>44.005934699999997</v>
      </c>
      <c r="N204">
        <f>VLOOKUP(A204,metadata!A:E,5,FALSE)</f>
        <v>-73.148043999999999</v>
      </c>
    </row>
    <row r="205" spans="1:14" ht="13" hidden="1" x14ac:dyDescent="0.6">
      <c r="A205" s="1" t="s">
        <v>227</v>
      </c>
      <c r="B205" s="1" t="s">
        <v>11</v>
      </c>
      <c r="C205" s="1" t="s">
        <v>57</v>
      </c>
      <c r="D205" s="1">
        <v>5.1929999999999997E-2</v>
      </c>
      <c r="E205" s="1">
        <v>0</v>
      </c>
      <c r="F205" s="1">
        <v>0</v>
      </c>
      <c r="G205" s="1">
        <v>0</v>
      </c>
      <c r="H205" s="1">
        <v>2.6079999999999999E-2</v>
      </c>
      <c r="I205" s="1">
        <v>0.92198999999999998</v>
      </c>
      <c r="J205" s="1" t="s">
        <v>8</v>
      </c>
      <c r="K205" t="str">
        <f>VLOOKUP(A205,metadata!A:I,9,FALSE)</f>
        <v>VT</v>
      </c>
      <c r="L205" t="str">
        <f>VLOOKUP(A205,metadata!A:F,6,FALSE)</f>
        <v>FerrisburghVT</v>
      </c>
      <c r="M205">
        <f>VLOOKUP(A205,metadata!A:D,4,FALSE)</f>
        <v>44.234328699999999</v>
      </c>
      <c r="N205">
        <f>VLOOKUP(A205,metadata!A:E,5,FALSE)</f>
        <v>-73.243211000000002</v>
      </c>
    </row>
    <row r="206" spans="1:14" ht="13" hidden="1" x14ac:dyDescent="0.6">
      <c r="A206" s="1" t="s">
        <v>228</v>
      </c>
      <c r="B206" s="1" t="s">
        <v>19</v>
      </c>
      <c r="C206" s="1" t="s">
        <v>20</v>
      </c>
      <c r="D206" s="1">
        <v>0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 t="s">
        <v>4</v>
      </c>
      <c r="K206" t="str">
        <f>VLOOKUP(A206,metadata!A:I,9,FALSE)</f>
        <v>VT</v>
      </c>
      <c r="L206" t="str">
        <f>VLOOKUP(A206,metadata!A:F,6,FALSE)</f>
        <v>FerrisburghVT</v>
      </c>
      <c r="M206">
        <f>VLOOKUP(A206,metadata!A:D,4,FALSE)</f>
        <v>44.235423300000001</v>
      </c>
      <c r="N206">
        <f>VLOOKUP(A206,metadata!A:E,5,FALSE)</f>
        <v>-73.243421999999995</v>
      </c>
    </row>
    <row r="207" spans="1:14" ht="13" hidden="1" x14ac:dyDescent="0.6">
      <c r="A207" s="1" t="s">
        <v>229</v>
      </c>
      <c r="B207" s="1" t="s">
        <v>11</v>
      </c>
      <c r="C207" s="1" t="s">
        <v>11</v>
      </c>
      <c r="D207" s="1">
        <v>0.99251999999999996</v>
      </c>
      <c r="E207" s="1">
        <v>0</v>
      </c>
      <c r="F207" s="1">
        <v>0</v>
      </c>
      <c r="G207" s="1">
        <v>0</v>
      </c>
      <c r="H207" s="1">
        <v>0</v>
      </c>
      <c r="I207" s="1">
        <v>7.4799999999999997E-3</v>
      </c>
      <c r="J207" s="1" t="s">
        <v>12</v>
      </c>
      <c r="K207" t="str">
        <f>VLOOKUP(A207,metadata!A:I,9,FALSE)</f>
        <v>VT</v>
      </c>
      <c r="L207" t="str">
        <f>VLOOKUP(A207,metadata!A:F,6,FALSE)</f>
        <v>FerrisburghVT</v>
      </c>
      <c r="M207">
        <f>VLOOKUP(A207,metadata!A:D,4,FALSE)</f>
        <v>44.233935600000002</v>
      </c>
      <c r="N207">
        <f>VLOOKUP(A207,metadata!A:E,5,FALSE)</f>
        <v>-73.243122</v>
      </c>
    </row>
    <row r="208" spans="1:14" ht="13" hidden="1" x14ac:dyDescent="0.6">
      <c r="A208" s="1" t="s">
        <v>230</v>
      </c>
      <c r="B208" s="1" t="s">
        <v>11</v>
      </c>
      <c r="C208" s="1" t="s">
        <v>57</v>
      </c>
      <c r="D208" s="1">
        <v>0.53117000000000003</v>
      </c>
      <c r="E208" s="1">
        <v>0</v>
      </c>
      <c r="F208" s="1">
        <v>0</v>
      </c>
      <c r="G208" s="1">
        <v>0</v>
      </c>
      <c r="H208" s="1">
        <v>3.3E-4</v>
      </c>
      <c r="I208" s="1">
        <v>0.46850000000000003</v>
      </c>
      <c r="J208" s="1" t="s">
        <v>58</v>
      </c>
      <c r="K208" t="str">
        <f>VLOOKUP(A208,metadata!A:I,9,FALSE)</f>
        <v>VT</v>
      </c>
      <c r="L208" t="str">
        <f>VLOOKUP(A208,metadata!A:F,6,FALSE)</f>
        <v>FerrisburghVT</v>
      </c>
      <c r="M208">
        <f>VLOOKUP(A208,metadata!A:D,4,FALSE)</f>
        <v>44.264336800000002</v>
      </c>
      <c r="N208">
        <f>VLOOKUP(A208,metadata!A:E,5,FALSE)</f>
        <v>-73.249726999999993</v>
      </c>
    </row>
    <row r="209" spans="1:14" ht="13" hidden="1" x14ac:dyDescent="0.6">
      <c r="A209" s="1" t="s">
        <v>231</v>
      </c>
      <c r="B209" s="1" t="s">
        <v>11</v>
      </c>
      <c r="C209" s="1" t="s">
        <v>11</v>
      </c>
      <c r="D209" s="1">
        <v>0.98973999999999995</v>
      </c>
      <c r="E209" s="1">
        <v>0</v>
      </c>
      <c r="F209" s="1">
        <v>0</v>
      </c>
      <c r="G209" s="1">
        <v>0</v>
      </c>
      <c r="H209" s="1">
        <v>0</v>
      </c>
      <c r="I209" s="1">
        <v>1.025E-2</v>
      </c>
      <c r="J209" s="1" t="s">
        <v>12</v>
      </c>
      <c r="K209" t="str">
        <f>VLOOKUP(A209,metadata!A:I,9,FALSE)</f>
        <v>VT</v>
      </c>
      <c r="L209" t="str">
        <f>VLOOKUP(A209,metadata!A:F,6,FALSE)</f>
        <v>BurlingtonVT</v>
      </c>
      <c r="M209">
        <f>VLOOKUP(A209,metadata!A:D,4,FALSE)</f>
        <v>44.400681400000003</v>
      </c>
      <c r="N209">
        <f>VLOOKUP(A209,metadata!A:E,5,FALSE)</f>
        <v>-73.237570000000005</v>
      </c>
    </row>
    <row r="210" spans="1:14" ht="13" hidden="1" x14ac:dyDescent="0.6">
      <c r="A210" s="1" t="s">
        <v>232</v>
      </c>
      <c r="B210" s="1" t="s">
        <v>11</v>
      </c>
      <c r="C210" s="1" t="s">
        <v>57</v>
      </c>
      <c r="D210" s="1">
        <v>0.28641</v>
      </c>
      <c r="E210" s="1">
        <v>0</v>
      </c>
      <c r="F210" s="1">
        <v>0</v>
      </c>
      <c r="G210" s="1">
        <v>0</v>
      </c>
      <c r="H210" s="1">
        <v>8.2199999999999999E-3</v>
      </c>
      <c r="I210" s="1">
        <v>0.70537000000000005</v>
      </c>
      <c r="J210" s="1" t="s">
        <v>58</v>
      </c>
      <c r="K210" t="str">
        <f>VLOOKUP(A210,metadata!A:I,9,FALSE)</f>
        <v>VT</v>
      </c>
      <c r="L210" t="str">
        <f>VLOOKUP(A210,metadata!A:F,6,FALSE)</f>
        <v>BurlingtonVT</v>
      </c>
      <c r="M210">
        <f>VLOOKUP(A210,metadata!A:D,4,FALSE)</f>
        <v>44.579249900000001</v>
      </c>
      <c r="N210">
        <f>VLOOKUP(A210,metadata!A:E,5,FALSE)</f>
        <v>-73.165538999999995</v>
      </c>
    </row>
    <row r="211" spans="1:14" ht="13" hidden="1" x14ac:dyDescent="0.6">
      <c r="A211" s="1" t="s">
        <v>233</v>
      </c>
      <c r="B211" s="1" t="s">
        <v>11</v>
      </c>
      <c r="C211" s="1" t="s">
        <v>11</v>
      </c>
      <c r="D211" s="1">
        <v>0.95094999999999996</v>
      </c>
      <c r="E211" s="1">
        <v>0</v>
      </c>
      <c r="F211" s="1">
        <v>0</v>
      </c>
      <c r="G211" s="1">
        <v>0</v>
      </c>
      <c r="H211" s="2">
        <v>1.0000000000000001E-5</v>
      </c>
      <c r="I211" s="1">
        <v>4.904E-2</v>
      </c>
      <c r="J211" s="1" t="s">
        <v>12</v>
      </c>
      <c r="K211" t="str">
        <f>VLOOKUP(A211,metadata!A:I,9,FALSE)</f>
        <v>VT</v>
      </c>
      <c r="L211" t="str">
        <f>VLOOKUP(A211,metadata!A:F,6,FALSE)</f>
        <v>GrandIsleVT</v>
      </c>
      <c r="M211">
        <f>VLOOKUP(A211,metadata!A:D,4,FALSE)</f>
        <v>44.667524100000001</v>
      </c>
      <c r="N211">
        <f>VLOOKUP(A211,metadata!A:E,5,FALSE)</f>
        <v>-73.344893999999996</v>
      </c>
    </row>
    <row r="212" spans="1:14" ht="13" hidden="1" x14ac:dyDescent="0.6">
      <c r="A212" s="1" t="s">
        <v>234</v>
      </c>
      <c r="B212" s="1" t="s">
        <v>11</v>
      </c>
      <c r="C212" s="1" t="s">
        <v>57</v>
      </c>
      <c r="D212" s="1">
        <v>0.84031</v>
      </c>
      <c r="E212" s="1">
        <v>0</v>
      </c>
      <c r="F212" s="1">
        <v>0</v>
      </c>
      <c r="G212" s="1">
        <v>0</v>
      </c>
      <c r="H212" s="1">
        <v>1.8000000000000001E-4</v>
      </c>
      <c r="I212" s="1">
        <v>0.15951000000000001</v>
      </c>
      <c r="J212" s="1" t="s">
        <v>58</v>
      </c>
      <c r="K212" t="str">
        <f>VLOOKUP(A212,metadata!A:I,9,FALSE)</f>
        <v>VT</v>
      </c>
      <c r="L212" t="str">
        <f>VLOOKUP(A212,metadata!A:F,6,FALSE)</f>
        <v>GrandIsleVT</v>
      </c>
      <c r="M212">
        <f>VLOOKUP(A212,metadata!A:D,4,FALSE)</f>
        <v>44.717429699999997</v>
      </c>
      <c r="N212">
        <f>VLOOKUP(A212,metadata!A:E,5,FALSE)</f>
        <v>-73.325850000000003</v>
      </c>
    </row>
    <row r="213" spans="1:14" ht="13" hidden="1" x14ac:dyDescent="0.6">
      <c r="A213" s="1" t="s">
        <v>235</v>
      </c>
      <c r="B213" s="1" t="s">
        <v>11</v>
      </c>
      <c r="C213" s="1" t="s">
        <v>11</v>
      </c>
      <c r="D213" s="1">
        <v>0.96257000000000004</v>
      </c>
      <c r="E213" s="1">
        <v>0</v>
      </c>
      <c r="F213" s="1">
        <v>0</v>
      </c>
      <c r="G213" s="1">
        <v>0</v>
      </c>
      <c r="H213" s="1">
        <v>4.0999999999999999E-4</v>
      </c>
      <c r="I213" s="1">
        <v>3.7019999999999997E-2</v>
      </c>
      <c r="J213" s="1" t="s">
        <v>12</v>
      </c>
      <c r="K213" t="str">
        <f>VLOOKUP(A213,metadata!A:I,9,FALSE)</f>
        <v>MO</v>
      </c>
      <c r="L213" t="str">
        <f>VLOOKUP(A213,metadata!A:F,6,FALSE)</f>
        <v>ShawMO</v>
      </c>
      <c r="M213">
        <f>VLOOKUP(A213,metadata!A:D,4,FALSE)</f>
        <v>38.463850000000001</v>
      </c>
      <c r="N213">
        <f>VLOOKUP(A213,metadata!A:E,5,FALSE)</f>
        <v>-90.80547</v>
      </c>
    </row>
    <row r="214" spans="1:14" ht="13" hidden="1" x14ac:dyDescent="0.6">
      <c r="A214" s="1" t="s">
        <v>236</v>
      </c>
      <c r="B214" s="1" t="s">
        <v>11</v>
      </c>
      <c r="C214" s="1" t="s">
        <v>11</v>
      </c>
      <c r="D214" s="1">
        <v>0.99875000000000003</v>
      </c>
      <c r="E214" s="1">
        <v>0</v>
      </c>
      <c r="F214" s="1">
        <v>0</v>
      </c>
      <c r="G214" s="1">
        <v>0</v>
      </c>
      <c r="H214" s="1">
        <v>0</v>
      </c>
      <c r="I214" s="1">
        <v>1.25E-3</v>
      </c>
      <c r="J214" s="1" t="s">
        <v>12</v>
      </c>
      <c r="K214" t="str">
        <f>VLOOKUP(A214,metadata!A:I,9,FALSE)</f>
        <v>MO</v>
      </c>
      <c r="L214" t="str">
        <f>VLOOKUP(A214,metadata!A:F,6,FALSE)</f>
        <v>ShawMO</v>
      </c>
      <c r="M214">
        <f>VLOOKUP(A214,metadata!A:D,4,FALSE)</f>
        <v>38.461869999999998</v>
      </c>
      <c r="N214">
        <f>VLOOKUP(A214,metadata!A:E,5,FALSE)</f>
        <v>-90.814980000000006</v>
      </c>
    </row>
    <row r="215" spans="1:14" ht="13" hidden="1" x14ac:dyDescent="0.6">
      <c r="A215" s="1" t="s">
        <v>237</v>
      </c>
      <c r="B215" s="1" t="s">
        <v>11</v>
      </c>
      <c r="C215" s="1" t="s">
        <v>11</v>
      </c>
      <c r="D215" s="1">
        <v>0.99865999999999999</v>
      </c>
      <c r="E215" s="1">
        <v>0</v>
      </c>
      <c r="F215" s="1">
        <v>0</v>
      </c>
      <c r="G215" s="1">
        <v>0</v>
      </c>
      <c r="H215" s="1">
        <v>0</v>
      </c>
      <c r="I215" s="1">
        <v>1.34E-3</v>
      </c>
      <c r="J215" s="1" t="s">
        <v>12</v>
      </c>
      <c r="K215" t="str">
        <f>VLOOKUP(A215,metadata!A:I,9,FALSE)</f>
        <v>MO</v>
      </c>
      <c r="L215" t="str">
        <f>VLOOKUP(A215,metadata!A:F,6,FALSE)</f>
        <v>ShawMO</v>
      </c>
      <c r="M215">
        <f>VLOOKUP(A215,metadata!A:D,4,FALSE)</f>
        <v>38.466079999999998</v>
      </c>
      <c r="N215">
        <f>VLOOKUP(A215,metadata!A:E,5,FALSE)</f>
        <v>-90.809399999999997</v>
      </c>
    </row>
    <row r="216" spans="1:14" ht="13" hidden="1" x14ac:dyDescent="0.6">
      <c r="A216" s="1" t="s">
        <v>238</v>
      </c>
      <c r="B216" s="1" t="s">
        <v>54</v>
      </c>
      <c r="C216" s="1" t="s">
        <v>54</v>
      </c>
      <c r="D216" s="1">
        <v>0.99904000000000004</v>
      </c>
      <c r="E216" s="1">
        <v>0</v>
      </c>
      <c r="F216" s="1">
        <v>0</v>
      </c>
      <c r="G216" s="1">
        <v>0</v>
      </c>
      <c r="H216" s="1">
        <v>0</v>
      </c>
      <c r="I216" s="1">
        <v>9.6000000000000002E-4</v>
      </c>
      <c r="J216" s="1" t="s">
        <v>12</v>
      </c>
      <c r="K216" t="str">
        <f>VLOOKUP(A216,metadata!A:I,9,FALSE)</f>
        <v>MO</v>
      </c>
      <c r="L216" t="str">
        <f>VLOOKUP(A216,metadata!A:F,6,FALSE)</f>
        <v>EurekaMO</v>
      </c>
      <c r="M216">
        <f>VLOOKUP(A216,metadata!A:D,4,FALSE)</f>
        <v>38.513390000000001</v>
      </c>
      <c r="N216">
        <f>VLOOKUP(A216,metadata!A:E,5,FALSE)</f>
        <v>-90.575640000000007</v>
      </c>
    </row>
    <row r="217" spans="1:14" ht="13" hidden="1" x14ac:dyDescent="0.6">
      <c r="A217" s="1" t="s">
        <v>239</v>
      </c>
      <c r="B217" s="1" t="s">
        <v>43</v>
      </c>
      <c r="C217" s="1" t="s">
        <v>43</v>
      </c>
      <c r="D217" s="1">
        <v>0.99995999999999996</v>
      </c>
      <c r="E217" s="1">
        <v>0</v>
      </c>
      <c r="F217" s="1">
        <v>0</v>
      </c>
      <c r="G217" s="1">
        <v>0</v>
      </c>
      <c r="H217" s="1">
        <v>0</v>
      </c>
      <c r="I217" s="2">
        <v>4.0000000000000003E-5</v>
      </c>
      <c r="J217" s="1" t="s">
        <v>12</v>
      </c>
      <c r="K217" t="str">
        <f>VLOOKUP(A217,metadata!A:I,9,FALSE)</f>
        <v>MO</v>
      </c>
      <c r="L217" t="str">
        <f>VLOOKUP(A217,metadata!A:F,6,FALSE)</f>
        <v>EurekaMO</v>
      </c>
      <c r="M217">
        <f>VLOOKUP(A217,metadata!A:D,4,FALSE)</f>
        <v>38.514560000000003</v>
      </c>
      <c r="N217">
        <f>VLOOKUP(A217,metadata!A:E,5,FALSE)</f>
        <v>-90.577240000000003</v>
      </c>
    </row>
    <row r="218" spans="1:14" ht="13" hidden="1" x14ac:dyDescent="0.6">
      <c r="A218" s="1" t="s">
        <v>240</v>
      </c>
      <c r="B218" s="1" t="s">
        <v>11</v>
      </c>
      <c r="C218" s="1" t="s">
        <v>11</v>
      </c>
      <c r="D218" s="1">
        <v>0.99929000000000001</v>
      </c>
      <c r="E218" s="1">
        <v>0</v>
      </c>
      <c r="F218" s="1">
        <v>0</v>
      </c>
      <c r="G218" s="1">
        <v>0</v>
      </c>
      <c r="H218" s="1">
        <v>0</v>
      </c>
      <c r="I218" s="1">
        <v>7.1000000000000002E-4</v>
      </c>
      <c r="J218" s="1" t="s">
        <v>12</v>
      </c>
      <c r="K218" t="str">
        <f>VLOOKUP(A218,metadata!A:I,9,FALSE)</f>
        <v>MO</v>
      </c>
      <c r="L218" t="str">
        <f>VLOOKUP(A218,metadata!A:F,6,FALSE)</f>
        <v>EurekaMO</v>
      </c>
      <c r="M218">
        <f>VLOOKUP(A218,metadata!A:D,4,FALSE)</f>
        <v>38.510890000000003</v>
      </c>
      <c r="N218">
        <f>VLOOKUP(A218,metadata!A:E,5,FALSE)</f>
        <v>-90.559870000000004</v>
      </c>
    </row>
    <row r="219" spans="1:14" ht="13" hidden="1" x14ac:dyDescent="0.6">
      <c r="A219" s="1" t="s">
        <v>241</v>
      </c>
      <c r="B219" s="1" t="s">
        <v>43</v>
      </c>
      <c r="C219" s="1" t="s">
        <v>43</v>
      </c>
      <c r="D219" s="1">
        <v>0.99817999999999996</v>
      </c>
      <c r="E219" s="1">
        <v>0</v>
      </c>
      <c r="F219" s="1">
        <v>0</v>
      </c>
      <c r="G219" s="1">
        <v>0</v>
      </c>
      <c r="H219" s="2">
        <v>1.0000000000000001E-5</v>
      </c>
      <c r="I219" s="1">
        <v>1.81E-3</v>
      </c>
      <c r="J219" s="1" t="s">
        <v>12</v>
      </c>
      <c r="K219" t="str">
        <f>VLOOKUP(A219,metadata!A:I,9,FALSE)</f>
        <v>MO</v>
      </c>
      <c r="L219" t="str">
        <f>VLOOKUP(A219,metadata!A:F,6,FALSE)</f>
        <v>EurekaMO</v>
      </c>
      <c r="M219">
        <f>VLOOKUP(A219,metadata!A:D,4,FALSE)</f>
        <v>38.51146</v>
      </c>
      <c r="N219">
        <f>VLOOKUP(A219,metadata!A:E,5,FALSE)</f>
        <v>-90.559169999999995</v>
      </c>
    </row>
    <row r="220" spans="1:14" ht="13" hidden="1" x14ac:dyDescent="0.6">
      <c r="A220" s="1" t="s">
        <v>242</v>
      </c>
      <c r="B220" s="1" t="s">
        <v>96</v>
      </c>
      <c r="C220" s="1" t="s">
        <v>96</v>
      </c>
      <c r="D220" s="1">
        <v>0.99995000000000001</v>
      </c>
      <c r="E220" s="1">
        <v>0</v>
      </c>
      <c r="F220" s="1">
        <v>0</v>
      </c>
      <c r="G220" s="1">
        <v>0</v>
      </c>
      <c r="H220" s="1">
        <v>0</v>
      </c>
      <c r="I220" s="2">
        <v>5.0000000000000002E-5</v>
      </c>
      <c r="J220" s="1" t="s">
        <v>12</v>
      </c>
      <c r="K220" t="str">
        <f>VLOOKUP(A220,metadata!A:I,9,FALSE)</f>
        <v>MO</v>
      </c>
      <c r="L220" t="str">
        <f>VLOOKUP(A220,metadata!A:F,6,FALSE)</f>
        <v>EurekaMO</v>
      </c>
      <c r="M220">
        <f>VLOOKUP(A220,metadata!A:D,4,FALSE)</f>
        <v>38.51135</v>
      </c>
      <c r="N220">
        <f>VLOOKUP(A220,metadata!A:E,5,FALSE)</f>
        <v>-90.559209999999993</v>
      </c>
    </row>
    <row r="221" spans="1:14" ht="13" hidden="1" x14ac:dyDescent="0.6">
      <c r="A221" s="1" t="s">
        <v>243</v>
      </c>
      <c r="B221" s="1" t="s">
        <v>11</v>
      </c>
      <c r="C221" s="1" t="s">
        <v>11</v>
      </c>
      <c r="D221" s="1">
        <v>0.99321000000000004</v>
      </c>
      <c r="E221" s="1">
        <v>0</v>
      </c>
      <c r="F221" s="1">
        <v>0</v>
      </c>
      <c r="G221" s="1">
        <v>0</v>
      </c>
      <c r="H221" s="1">
        <v>0</v>
      </c>
      <c r="I221" s="1">
        <v>6.79E-3</v>
      </c>
      <c r="J221" s="1" t="s">
        <v>12</v>
      </c>
      <c r="K221" t="str">
        <f>VLOOKUP(A221,metadata!A:I,9,FALSE)</f>
        <v>MO</v>
      </c>
      <c r="L221" t="str">
        <f>VLOOKUP(A221,metadata!A:F,6,FALSE)</f>
        <v>SullivanMO</v>
      </c>
      <c r="M221">
        <f>VLOOKUP(A221,metadata!A:D,4,FALSE)</f>
        <v>38.226849999999999</v>
      </c>
      <c r="N221">
        <f>VLOOKUP(A221,metadata!A:E,5,FALSE)</f>
        <v>-91.082449999999994</v>
      </c>
    </row>
    <row r="222" spans="1:14" ht="13" hidden="1" x14ac:dyDescent="0.6">
      <c r="A222" s="1" t="s">
        <v>244</v>
      </c>
      <c r="B222" s="1" t="s">
        <v>43</v>
      </c>
      <c r="C222" s="1" t="s">
        <v>43</v>
      </c>
      <c r="D222" s="1">
        <v>0.99977000000000005</v>
      </c>
      <c r="E222" s="1">
        <v>0</v>
      </c>
      <c r="F222" s="1">
        <v>0</v>
      </c>
      <c r="G222" s="1">
        <v>0</v>
      </c>
      <c r="H222" s="1">
        <v>0</v>
      </c>
      <c r="I222" s="1">
        <v>2.2000000000000001E-4</v>
      </c>
      <c r="J222" s="1" t="s">
        <v>12</v>
      </c>
      <c r="K222" t="str">
        <f>VLOOKUP(A222,metadata!A:I,9,FALSE)</f>
        <v>MO</v>
      </c>
      <c r="L222" t="str">
        <f>VLOOKUP(A222,metadata!A:F,6,FALSE)</f>
        <v>SullivanMO</v>
      </c>
      <c r="M222">
        <f>VLOOKUP(A222,metadata!A:D,4,FALSE)</f>
        <v>38.226649999999999</v>
      </c>
      <c r="N222">
        <f>VLOOKUP(A222,metadata!A:E,5,FALSE)</f>
        <v>-91.082849999999993</v>
      </c>
    </row>
    <row r="223" spans="1:14" ht="13" hidden="1" x14ac:dyDescent="0.6">
      <c r="A223" s="1" t="s">
        <v>245</v>
      </c>
      <c r="B223" s="1" t="s">
        <v>29</v>
      </c>
      <c r="C223" s="1" t="s">
        <v>29</v>
      </c>
      <c r="D223" s="1">
        <v>0.99973999999999996</v>
      </c>
      <c r="E223" s="1">
        <v>0</v>
      </c>
      <c r="F223" s="1">
        <v>0</v>
      </c>
      <c r="G223" s="1">
        <v>0</v>
      </c>
      <c r="H223" s="1">
        <v>0</v>
      </c>
      <c r="I223" s="1">
        <v>2.5999999999999998E-4</v>
      </c>
      <c r="J223" s="1" t="s">
        <v>12</v>
      </c>
      <c r="K223" t="str">
        <f>VLOOKUP(A223,metadata!A:I,9,FALSE)</f>
        <v>MO</v>
      </c>
      <c r="L223" t="str">
        <f>VLOOKUP(A223,metadata!A:F,6,FALSE)</f>
        <v>SullivanMO</v>
      </c>
      <c r="M223">
        <f>VLOOKUP(A223,metadata!A:D,4,FALSE)</f>
        <v>38.226669999999999</v>
      </c>
      <c r="N223">
        <f>VLOOKUP(A223,metadata!A:E,5,FALSE)</f>
        <v>-91.08296</v>
      </c>
    </row>
    <row r="224" spans="1:14" ht="13" hidden="1" x14ac:dyDescent="0.6">
      <c r="A224" s="1" t="s">
        <v>246</v>
      </c>
      <c r="B224" s="1" t="s">
        <v>11</v>
      </c>
      <c r="C224" s="1" t="s">
        <v>11</v>
      </c>
      <c r="D224" s="1">
        <v>0.96443000000000001</v>
      </c>
      <c r="E224" s="1">
        <v>0</v>
      </c>
      <c r="F224" s="1">
        <v>0</v>
      </c>
      <c r="G224" s="1">
        <v>0</v>
      </c>
      <c r="H224" s="1">
        <v>5.4000000000000001E-4</v>
      </c>
      <c r="I224" s="1">
        <v>3.5040000000000002E-2</v>
      </c>
      <c r="J224" s="1" t="s">
        <v>12</v>
      </c>
      <c r="K224" t="str">
        <f>VLOOKUP(A224,metadata!A:I,9,FALSE)</f>
        <v>MO</v>
      </c>
      <c r="L224" t="str">
        <f>VLOOKUP(A224,metadata!A:F,6,FALSE)</f>
        <v>SullivanMO</v>
      </c>
      <c r="M224">
        <f>VLOOKUP(A224,metadata!A:D,4,FALSE)</f>
        <v>38.224409999999999</v>
      </c>
      <c r="N224">
        <f>VLOOKUP(A224,metadata!A:E,5,FALSE)</f>
        <v>-91.081940000000003</v>
      </c>
    </row>
    <row r="225" spans="1:14" ht="13" hidden="1" x14ac:dyDescent="0.6">
      <c r="A225" s="1" t="s">
        <v>247</v>
      </c>
      <c r="B225" s="1" t="s">
        <v>43</v>
      </c>
      <c r="C225" s="1" t="s">
        <v>43</v>
      </c>
      <c r="D225" s="1">
        <v>0.99983999999999995</v>
      </c>
      <c r="E225" s="1">
        <v>0</v>
      </c>
      <c r="F225" s="1">
        <v>0</v>
      </c>
      <c r="G225" s="1">
        <v>0</v>
      </c>
      <c r="H225" s="1">
        <v>0</v>
      </c>
      <c r="I225" s="1">
        <v>1.6000000000000001E-4</v>
      </c>
      <c r="J225" s="1" t="s">
        <v>12</v>
      </c>
      <c r="K225" t="str">
        <f>VLOOKUP(A225,metadata!A:I,9,FALSE)</f>
        <v>MO</v>
      </c>
      <c r="L225" t="str">
        <f>VLOOKUP(A225,metadata!A:F,6,FALSE)</f>
        <v>SullivanMO</v>
      </c>
      <c r="M225">
        <f>VLOOKUP(A225,metadata!A:D,4,FALSE)</f>
        <v>38.218130000000002</v>
      </c>
      <c r="N225">
        <f>VLOOKUP(A225,metadata!A:E,5,FALSE)</f>
        <v>-91.083550000000002</v>
      </c>
    </row>
    <row r="226" spans="1:14" ht="13" hidden="1" x14ac:dyDescent="0.6">
      <c r="A226" s="1" t="s">
        <v>248</v>
      </c>
      <c r="B226" s="1" t="s">
        <v>54</v>
      </c>
      <c r="C226" s="1" t="s">
        <v>54</v>
      </c>
      <c r="D226" s="1">
        <v>0.99953999999999998</v>
      </c>
      <c r="E226" s="1">
        <v>0</v>
      </c>
      <c r="F226" s="1">
        <v>0</v>
      </c>
      <c r="G226" s="1">
        <v>0</v>
      </c>
      <c r="H226" s="1">
        <v>0</v>
      </c>
      <c r="I226" s="1">
        <v>4.6000000000000001E-4</v>
      </c>
      <c r="J226" s="1" t="s">
        <v>12</v>
      </c>
      <c r="K226" t="str">
        <f>VLOOKUP(A226,metadata!A:I,9,FALSE)</f>
        <v>MO</v>
      </c>
      <c r="L226" t="str">
        <f>VLOOKUP(A226,metadata!A:F,6,FALSE)</f>
        <v>SullivanMO</v>
      </c>
      <c r="M226">
        <f>VLOOKUP(A226,metadata!A:D,4,FALSE)</f>
        <v>38.217179999999999</v>
      </c>
      <c r="N226">
        <f>VLOOKUP(A226,metadata!A:E,5,FALSE)</f>
        <v>-91.086359999999999</v>
      </c>
    </row>
    <row r="227" spans="1:14" ht="13" hidden="1" x14ac:dyDescent="0.6">
      <c r="A227" s="1" t="s">
        <v>249</v>
      </c>
      <c r="B227" s="1" t="s">
        <v>54</v>
      </c>
      <c r="C227" s="1" t="s">
        <v>54</v>
      </c>
      <c r="D227" s="1">
        <v>0.99934999999999996</v>
      </c>
      <c r="E227" s="1">
        <v>0</v>
      </c>
      <c r="F227" s="1">
        <v>0</v>
      </c>
      <c r="G227" s="1">
        <v>0</v>
      </c>
      <c r="H227" s="2">
        <v>3.0000000000000001E-5</v>
      </c>
      <c r="I227" s="1">
        <v>6.3000000000000003E-4</v>
      </c>
      <c r="J227" s="1" t="s">
        <v>12</v>
      </c>
      <c r="K227" t="str">
        <f>VLOOKUP(A227,metadata!A:I,9,FALSE)</f>
        <v>MO</v>
      </c>
      <c r="L227" t="str">
        <f>VLOOKUP(A227,metadata!A:F,6,FALSE)</f>
        <v>SullivanMO</v>
      </c>
      <c r="M227">
        <f>VLOOKUP(A227,metadata!A:D,4,FALSE)</f>
        <v>38.217129999999997</v>
      </c>
      <c r="N227">
        <f>VLOOKUP(A227,metadata!A:E,5,FALSE)</f>
        <v>-91.092079999999996</v>
      </c>
    </row>
    <row r="228" spans="1:14" ht="13" hidden="1" x14ac:dyDescent="0.6">
      <c r="A228" s="1" t="s">
        <v>250</v>
      </c>
      <c r="B228" s="1" t="s">
        <v>43</v>
      </c>
      <c r="C228" s="1" t="s">
        <v>43</v>
      </c>
      <c r="D228" s="1">
        <v>0.99987999999999999</v>
      </c>
      <c r="E228" s="1">
        <v>0</v>
      </c>
      <c r="F228" s="1">
        <v>0</v>
      </c>
      <c r="G228" s="1">
        <v>0</v>
      </c>
      <c r="H228" s="1">
        <v>0</v>
      </c>
      <c r="I228" s="1">
        <v>1.2E-4</v>
      </c>
      <c r="J228" s="1" t="s">
        <v>12</v>
      </c>
      <c r="K228" t="str">
        <f>VLOOKUP(A228,metadata!A:I,9,FALSE)</f>
        <v>MO</v>
      </c>
      <c r="L228" t="str">
        <f>VLOOKUP(A228,metadata!A:F,6,FALSE)</f>
        <v>SullivanMO</v>
      </c>
      <c r="M228">
        <f>VLOOKUP(A228,metadata!A:D,4,FALSE)</f>
        <v>38.217860000000002</v>
      </c>
      <c r="N228">
        <f>VLOOKUP(A228,metadata!A:E,5,FALSE)</f>
        <v>-91.092089999999999</v>
      </c>
    </row>
    <row r="229" spans="1:14" ht="13" hidden="1" x14ac:dyDescent="0.6">
      <c r="A229" s="1" t="s">
        <v>251</v>
      </c>
      <c r="B229" s="1" t="s">
        <v>54</v>
      </c>
      <c r="C229" s="1" t="s">
        <v>54</v>
      </c>
      <c r="D229" s="1">
        <v>0.99853000000000003</v>
      </c>
      <c r="E229" s="1">
        <v>0</v>
      </c>
      <c r="F229" s="1">
        <v>0</v>
      </c>
      <c r="G229" s="1">
        <v>0</v>
      </c>
      <c r="H229" s="2">
        <v>1.0000000000000001E-5</v>
      </c>
      <c r="I229" s="1">
        <v>1.4599999999999999E-3</v>
      </c>
      <c r="J229" s="1" t="s">
        <v>12</v>
      </c>
      <c r="K229" t="str">
        <f>VLOOKUP(A229,metadata!A:I,9,FALSE)</f>
        <v>MO</v>
      </c>
      <c r="L229" t="str">
        <f>VLOOKUP(A229,metadata!A:F,6,FALSE)</f>
        <v>SullivanMO</v>
      </c>
      <c r="M229">
        <f>VLOOKUP(A229,metadata!A:D,4,FALSE)</f>
        <v>38.217329999999997</v>
      </c>
      <c r="N229">
        <f>VLOOKUP(A229,metadata!A:E,5,FALSE)</f>
        <v>-91.093389999999999</v>
      </c>
    </row>
    <row r="230" spans="1:14" ht="13" hidden="1" x14ac:dyDescent="0.6">
      <c r="A230" s="1" t="s">
        <v>252</v>
      </c>
      <c r="B230" s="1" t="s">
        <v>96</v>
      </c>
      <c r="C230" s="1" t="s">
        <v>96</v>
      </c>
      <c r="D230" s="1">
        <v>0.99985000000000002</v>
      </c>
      <c r="E230" s="1">
        <v>0</v>
      </c>
      <c r="F230" s="1">
        <v>0</v>
      </c>
      <c r="G230" s="1">
        <v>0</v>
      </c>
      <c r="H230" s="1">
        <v>0</v>
      </c>
      <c r="I230" s="1">
        <v>1.3999999999999999E-4</v>
      </c>
      <c r="J230" s="1" t="s">
        <v>12</v>
      </c>
      <c r="K230" t="str">
        <f>VLOOKUP(A230,metadata!A:I,9,FALSE)</f>
        <v>KS</v>
      </c>
      <c r="L230" t="str">
        <f>VLOOKUP(A230,metadata!A:F,6,FALSE)</f>
        <v>ShawneeMissionKS</v>
      </c>
      <c r="M230">
        <f>VLOOKUP(A230,metadata!A:D,4,FALSE)</f>
        <v>37.157580000000003</v>
      </c>
      <c r="N230">
        <f>VLOOKUP(A230,metadata!A:E,5,FALSE)</f>
        <v>-91.305130000000005</v>
      </c>
    </row>
    <row r="231" spans="1:14" ht="13" hidden="1" x14ac:dyDescent="0.6">
      <c r="A231" s="1" t="s">
        <v>253</v>
      </c>
      <c r="B231" s="1" t="s">
        <v>43</v>
      </c>
      <c r="C231" s="1" t="s">
        <v>43</v>
      </c>
      <c r="D231" s="1">
        <v>0.99961</v>
      </c>
      <c r="E231" s="1">
        <v>0</v>
      </c>
      <c r="F231" s="1">
        <v>0</v>
      </c>
      <c r="G231" s="1">
        <v>0</v>
      </c>
      <c r="H231" s="1">
        <v>0</v>
      </c>
      <c r="I231" s="1">
        <v>3.8999999999999999E-4</v>
      </c>
      <c r="J231" s="1" t="s">
        <v>12</v>
      </c>
      <c r="K231" t="str">
        <f>VLOOKUP(A231,metadata!A:I,9,FALSE)</f>
        <v>KS</v>
      </c>
      <c r="L231" t="str">
        <f>VLOOKUP(A231,metadata!A:F,6,FALSE)</f>
        <v>ShawneeMissionKS</v>
      </c>
      <c r="M231">
        <f>VLOOKUP(A231,metadata!A:D,4,FALSE)</f>
        <v>38.978639999999999</v>
      </c>
      <c r="N231">
        <f>VLOOKUP(A231,metadata!A:E,5,FALSE)</f>
        <v>-94.807239999999993</v>
      </c>
    </row>
    <row r="232" spans="1:14" ht="13" hidden="1" x14ac:dyDescent="0.6">
      <c r="A232" s="1" t="s">
        <v>254</v>
      </c>
      <c r="B232" s="1" t="s">
        <v>54</v>
      </c>
      <c r="C232" s="1" t="s">
        <v>54</v>
      </c>
      <c r="D232" s="1">
        <v>0.99983999999999995</v>
      </c>
      <c r="E232" s="1">
        <v>0</v>
      </c>
      <c r="F232" s="1">
        <v>0</v>
      </c>
      <c r="G232" s="1">
        <v>0</v>
      </c>
      <c r="H232" s="1">
        <v>0</v>
      </c>
      <c r="I232" s="1">
        <v>1.4999999999999999E-4</v>
      </c>
      <c r="J232" s="1" t="s">
        <v>12</v>
      </c>
      <c r="K232" t="str">
        <f>VLOOKUP(A232,metadata!A:I,9,FALSE)</f>
        <v>KS</v>
      </c>
      <c r="L232" t="str">
        <f>VLOOKUP(A232,metadata!A:F,6,FALSE)</f>
        <v>ShawneeMissionKS</v>
      </c>
      <c r="M232">
        <f>VLOOKUP(A232,metadata!A:D,4,FALSE)</f>
        <v>38.979179999999999</v>
      </c>
      <c r="N232">
        <f>VLOOKUP(A232,metadata!A:E,5,FALSE)</f>
        <v>-94.806920000000005</v>
      </c>
    </row>
    <row r="233" spans="1:14" ht="13" hidden="1" x14ac:dyDescent="0.6">
      <c r="A233" s="1" t="s">
        <v>255</v>
      </c>
      <c r="B233" s="1" t="s">
        <v>43</v>
      </c>
      <c r="C233" s="1" t="s">
        <v>43</v>
      </c>
      <c r="D233" s="1">
        <v>0.99919000000000002</v>
      </c>
      <c r="E233" s="1">
        <v>0</v>
      </c>
      <c r="F233" s="1">
        <v>0</v>
      </c>
      <c r="G233" s="1">
        <v>0</v>
      </c>
      <c r="H233" s="1">
        <v>0</v>
      </c>
      <c r="I233" s="1">
        <v>8.0999999999999996E-4</v>
      </c>
      <c r="J233" s="1" t="s">
        <v>12</v>
      </c>
      <c r="K233" t="str">
        <f>VLOOKUP(A233,metadata!A:I,9,FALSE)</f>
        <v>KS</v>
      </c>
      <c r="L233" t="str">
        <f>VLOOKUP(A233,metadata!A:F,6,FALSE)</f>
        <v>ShawneeMissionKS</v>
      </c>
      <c r="M233">
        <f>VLOOKUP(A233,metadata!A:D,4,FALSE)</f>
        <v>38.979340000000001</v>
      </c>
      <c r="N233">
        <f>VLOOKUP(A233,metadata!A:E,5,FALSE)</f>
        <v>-94.805369999999996</v>
      </c>
    </row>
    <row r="234" spans="1:14" ht="13" hidden="1" x14ac:dyDescent="0.6">
      <c r="A234" s="1" t="s">
        <v>256</v>
      </c>
      <c r="B234" s="1" t="s">
        <v>96</v>
      </c>
      <c r="C234" s="1" t="s">
        <v>96</v>
      </c>
      <c r="D234" s="1">
        <v>0.99731999999999998</v>
      </c>
      <c r="E234" s="1">
        <v>0</v>
      </c>
      <c r="F234" s="1">
        <v>0</v>
      </c>
      <c r="G234" s="1">
        <v>0</v>
      </c>
      <c r="H234" s="2">
        <v>2.0000000000000002E-5</v>
      </c>
      <c r="I234" s="1">
        <v>2.66E-3</v>
      </c>
      <c r="J234" s="1" t="s">
        <v>12</v>
      </c>
      <c r="K234" t="str">
        <f>VLOOKUP(A234,metadata!A:I,9,FALSE)</f>
        <v>KS</v>
      </c>
      <c r="L234" t="str">
        <f>VLOOKUP(A234,metadata!A:F,6,FALSE)</f>
        <v>ShawneeMissionKS</v>
      </c>
      <c r="M234">
        <f>VLOOKUP(A234,metadata!A:D,4,FALSE)</f>
        <v>38.978870000000001</v>
      </c>
      <c r="N234">
        <f>VLOOKUP(A234,metadata!A:E,5,FALSE)</f>
        <v>-94.804950000000005</v>
      </c>
    </row>
    <row r="235" spans="1:14" ht="13" hidden="1" x14ac:dyDescent="0.6">
      <c r="A235" s="1" t="s">
        <v>257</v>
      </c>
      <c r="B235" s="1" t="s">
        <v>11</v>
      </c>
      <c r="C235" s="1" t="s">
        <v>11</v>
      </c>
      <c r="D235" s="1">
        <v>0.98921000000000003</v>
      </c>
      <c r="E235" s="1">
        <v>0</v>
      </c>
      <c r="F235" s="1">
        <v>0</v>
      </c>
      <c r="G235" s="1">
        <v>0</v>
      </c>
      <c r="H235" s="2">
        <v>1.0000000000000001E-5</v>
      </c>
      <c r="I235" s="1">
        <v>1.0789999999999999E-2</v>
      </c>
      <c r="J235" s="1" t="s">
        <v>12</v>
      </c>
      <c r="K235" t="str">
        <f>VLOOKUP(A235,metadata!A:I,9,FALSE)</f>
        <v>KS</v>
      </c>
      <c r="L235" t="str">
        <f>VLOOKUP(A235,metadata!A:F,6,FALSE)</f>
        <v>ShawneeMissionKS</v>
      </c>
      <c r="M235">
        <f>VLOOKUP(A235,metadata!A:D,4,FALSE)</f>
        <v>38.980069999999998</v>
      </c>
      <c r="N235">
        <f>VLOOKUP(A235,metadata!A:E,5,FALSE)</f>
        <v>-94.805199999999999</v>
      </c>
    </row>
    <row r="236" spans="1:14" ht="13" hidden="1" x14ac:dyDescent="0.6">
      <c r="A236" s="1" t="s">
        <v>258</v>
      </c>
      <c r="B236" s="1" t="s">
        <v>43</v>
      </c>
      <c r="C236" s="1" t="s">
        <v>87</v>
      </c>
      <c r="D236" s="1">
        <v>0.60746</v>
      </c>
      <c r="E236" s="1">
        <v>0</v>
      </c>
      <c r="F236" s="1">
        <v>0</v>
      </c>
      <c r="G236" s="1">
        <v>0</v>
      </c>
      <c r="H236" s="1">
        <v>8.3999999999999995E-3</v>
      </c>
      <c r="I236" s="1">
        <v>0.38413000000000003</v>
      </c>
      <c r="J236" s="1" t="s">
        <v>58</v>
      </c>
      <c r="K236" t="str">
        <f>VLOOKUP(A236,metadata!A:I,9,FALSE)</f>
        <v>KS</v>
      </c>
      <c r="L236" t="str">
        <f>VLOOKUP(A236,metadata!A:F,6,FALSE)</f>
        <v>ShawneeMissionKS</v>
      </c>
      <c r="M236">
        <f>VLOOKUP(A236,metadata!A:D,4,FALSE)</f>
        <v>38.980139999999999</v>
      </c>
      <c r="N236">
        <f>VLOOKUP(A236,metadata!A:E,5,FALSE)</f>
        <v>-94.805040000000005</v>
      </c>
    </row>
    <row r="237" spans="1:14" ht="13" hidden="1" x14ac:dyDescent="0.6">
      <c r="A237" s="1" t="s">
        <v>259</v>
      </c>
      <c r="B237" s="1" t="s">
        <v>54</v>
      </c>
      <c r="C237" s="1" t="s">
        <v>54</v>
      </c>
      <c r="D237" s="1">
        <v>0.99656</v>
      </c>
      <c r="E237" s="1">
        <v>0</v>
      </c>
      <c r="F237" s="1">
        <v>0</v>
      </c>
      <c r="G237" s="1">
        <v>0</v>
      </c>
      <c r="H237" s="2">
        <v>3.0000000000000001E-5</v>
      </c>
      <c r="I237" s="1">
        <v>3.4099999999999998E-3</v>
      </c>
      <c r="J237" s="1" t="s">
        <v>12</v>
      </c>
      <c r="K237" t="str">
        <f>VLOOKUP(A237,metadata!A:I,9,FALSE)</f>
        <v>KS</v>
      </c>
      <c r="L237" t="str">
        <f>VLOOKUP(A237,metadata!A:F,6,FALSE)</f>
        <v>ShawneeMissionKS</v>
      </c>
      <c r="M237">
        <f>VLOOKUP(A237,metadata!A:D,4,FALSE)</f>
        <v>38.9803</v>
      </c>
      <c r="N237">
        <f>VLOOKUP(A237,metadata!A:E,5,FALSE)</f>
        <v>-94.805319999999995</v>
      </c>
    </row>
    <row r="238" spans="1:14" ht="13" hidden="1" x14ac:dyDescent="0.6">
      <c r="A238" s="1" t="s">
        <v>260</v>
      </c>
      <c r="B238" s="1" t="s">
        <v>11</v>
      </c>
      <c r="C238" s="1" t="s">
        <v>11</v>
      </c>
      <c r="D238" s="1">
        <v>0.99904000000000004</v>
      </c>
      <c r="E238" s="1">
        <v>0</v>
      </c>
      <c r="F238" s="1">
        <v>0</v>
      </c>
      <c r="G238" s="1">
        <v>0</v>
      </c>
      <c r="H238" s="1">
        <v>0</v>
      </c>
      <c r="I238" s="1">
        <v>9.6000000000000002E-4</v>
      </c>
      <c r="J238" s="1" t="s">
        <v>12</v>
      </c>
      <c r="K238" t="str">
        <f>VLOOKUP(A238,metadata!A:I,9,FALSE)</f>
        <v>KS</v>
      </c>
      <c r="L238" t="str">
        <f>VLOOKUP(A238,metadata!A:F,6,FALSE)</f>
        <v>ShawneeMissionKS</v>
      </c>
      <c r="M238">
        <f>VLOOKUP(A238,metadata!A:D,4,FALSE)</f>
        <v>38.98048</v>
      </c>
      <c r="N238">
        <f>VLOOKUP(A238,metadata!A:E,5,FALSE)</f>
        <v>-94.805679999999995</v>
      </c>
    </row>
    <row r="239" spans="1:14" ht="13" hidden="1" x14ac:dyDescent="0.6">
      <c r="A239" s="1" t="s">
        <v>261</v>
      </c>
      <c r="B239" s="1" t="s">
        <v>54</v>
      </c>
      <c r="C239" s="1" t="s">
        <v>54</v>
      </c>
      <c r="D239" s="1">
        <v>0.99978</v>
      </c>
      <c r="E239" s="1">
        <v>0</v>
      </c>
      <c r="F239" s="1">
        <v>0</v>
      </c>
      <c r="G239" s="1">
        <v>0</v>
      </c>
      <c r="H239" s="1">
        <v>0</v>
      </c>
      <c r="I239" s="1">
        <v>2.2000000000000001E-4</v>
      </c>
      <c r="J239" s="1" t="s">
        <v>12</v>
      </c>
      <c r="K239" t="str">
        <f>VLOOKUP(A239,metadata!A:I,9,FALSE)</f>
        <v>KS</v>
      </c>
      <c r="L239" t="str">
        <f>VLOOKUP(A239,metadata!A:F,6,FALSE)</f>
        <v>ShawneeMissionKS</v>
      </c>
      <c r="M239">
        <f>VLOOKUP(A239,metadata!A:D,4,FALSE)</f>
        <v>38.981299999999997</v>
      </c>
      <c r="N239">
        <f>VLOOKUP(A239,metadata!A:E,5,FALSE)</f>
        <v>-94.805719999999994</v>
      </c>
    </row>
    <row r="240" spans="1:14" ht="13" hidden="1" x14ac:dyDescent="0.6">
      <c r="A240" s="1" t="s">
        <v>262</v>
      </c>
      <c r="B240" s="1" t="s">
        <v>11</v>
      </c>
      <c r="C240" s="1" t="s">
        <v>11</v>
      </c>
      <c r="D240" s="1">
        <v>0.95474000000000003</v>
      </c>
      <c r="E240" s="1">
        <v>0</v>
      </c>
      <c r="F240" s="1">
        <v>0</v>
      </c>
      <c r="G240" s="1">
        <v>0</v>
      </c>
      <c r="H240" s="2">
        <v>4.0000000000000003E-5</v>
      </c>
      <c r="I240" s="1">
        <v>4.5220000000000003E-2</v>
      </c>
      <c r="J240" s="1" t="s">
        <v>12</v>
      </c>
      <c r="K240" t="str">
        <f>VLOOKUP(A240,metadata!A:I,9,FALSE)</f>
        <v>KS</v>
      </c>
      <c r="L240" t="str">
        <f>VLOOKUP(A240,metadata!A:F,6,FALSE)</f>
        <v>ShawneeMissionKS</v>
      </c>
      <c r="M240">
        <f>VLOOKUP(A240,metadata!A:D,4,FALSE)</f>
        <v>38.981409999999997</v>
      </c>
      <c r="N240">
        <f>VLOOKUP(A240,metadata!A:E,5,FALSE)</f>
        <v>-94.810360000000003</v>
      </c>
    </row>
    <row r="241" spans="1:14" ht="13" hidden="1" x14ac:dyDescent="0.6">
      <c r="A241" s="1" t="s">
        <v>263</v>
      </c>
      <c r="B241" s="1" t="s">
        <v>96</v>
      </c>
      <c r="C241" s="1" t="s">
        <v>96</v>
      </c>
      <c r="D241" s="1">
        <v>0.99973000000000001</v>
      </c>
      <c r="E241" s="1">
        <v>0</v>
      </c>
      <c r="F241" s="1">
        <v>0</v>
      </c>
      <c r="G241" s="1">
        <v>0</v>
      </c>
      <c r="H241" s="1">
        <v>0</v>
      </c>
      <c r="I241" s="1">
        <v>2.7E-4</v>
      </c>
      <c r="J241" s="1" t="s">
        <v>12</v>
      </c>
      <c r="K241" t="str">
        <f>VLOOKUP(A241,metadata!A:I,9,FALSE)</f>
        <v>KS</v>
      </c>
      <c r="L241" t="str">
        <f>VLOOKUP(A241,metadata!A:F,6,FALSE)</f>
        <v>BaldwinKS</v>
      </c>
      <c r="M241">
        <f>VLOOKUP(A241,metadata!A:D,4,FALSE)</f>
        <v>38.809539999999998</v>
      </c>
      <c r="N241">
        <f>VLOOKUP(A241,metadata!A:E,5,FALSE)</f>
        <v>-95.18853</v>
      </c>
    </row>
    <row r="242" spans="1:14" ht="13" hidden="1" x14ac:dyDescent="0.6">
      <c r="A242" s="1" t="s">
        <v>264</v>
      </c>
      <c r="B242" s="1" t="s">
        <v>11</v>
      </c>
      <c r="C242" s="1" t="s">
        <v>57</v>
      </c>
      <c r="D242" s="1">
        <v>0.85421000000000002</v>
      </c>
      <c r="E242" s="1">
        <v>0</v>
      </c>
      <c r="F242" s="1">
        <v>0</v>
      </c>
      <c r="G242" s="1">
        <v>0</v>
      </c>
      <c r="H242" s="1">
        <v>4.4999999999999999E-4</v>
      </c>
      <c r="I242" s="1">
        <v>0.14534</v>
      </c>
      <c r="J242" s="1" t="s">
        <v>58</v>
      </c>
      <c r="K242" t="str">
        <f>VLOOKUP(A242,metadata!A:I,9,FALSE)</f>
        <v>KS</v>
      </c>
      <c r="L242" t="str">
        <f>VLOOKUP(A242,metadata!A:F,6,FALSE)</f>
        <v>BaldwinKS</v>
      </c>
      <c r="M242">
        <f>VLOOKUP(A242,metadata!A:D,4,FALSE)</f>
        <v>38.809510000000003</v>
      </c>
      <c r="N242">
        <f>VLOOKUP(A242,metadata!A:E,5,FALSE)</f>
        <v>-95.188550000000006</v>
      </c>
    </row>
    <row r="243" spans="1:14" ht="13" hidden="1" x14ac:dyDescent="0.6">
      <c r="A243" s="1" t="s">
        <v>265</v>
      </c>
      <c r="B243" s="1" t="s">
        <v>54</v>
      </c>
      <c r="C243" s="1" t="s">
        <v>54</v>
      </c>
      <c r="D243" s="1">
        <v>0.99985999999999997</v>
      </c>
      <c r="E243" s="1">
        <v>0</v>
      </c>
      <c r="F243" s="1">
        <v>0</v>
      </c>
      <c r="G243" s="1">
        <v>0</v>
      </c>
      <c r="H243" s="1">
        <v>0</v>
      </c>
      <c r="I243" s="1">
        <v>1.3999999999999999E-4</v>
      </c>
      <c r="J243" s="1" t="s">
        <v>12</v>
      </c>
      <c r="K243" t="str">
        <f>VLOOKUP(A243,metadata!A:I,9,FALSE)</f>
        <v>KS</v>
      </c>
      <c r="L243" t="str">
        <f>VLOOKUP(A243,metadata!A:F,6,FALSE)</f>
        <v>BaldwinKS</v>
      </c>
      <c r="M243">
        <f>VLOOKUP(A243,metadata!A:D,4,FALSE)</f>
        <v>38.809579999999997</v>
      </c>
      <c r="N243">
        <f>VLOOKUP(A243,metadata!A:E,5,FALSE)</f>
        <v>-95.189160000000001</v>
      </c>
    </row>
    <row r="244" spans="1:14" ht="13" hidden="1" x14ac:dyDescent="0.6">
      <c r="A244" s="1" t="s">
        <v>266</v>
      </c>
      <c r="B244" s="1" t="s">
        <v>54</v>
      </c>
      <c r="C244" s="1" t="s">
        <v>54</v>
      </c>
      <c r="D244" s="1">
        <v>0.99951999999999996</v>
      </c>
      <c r="E244" s="1">
        <v>0</v>
      </c>
      <c r="F244" s="1">
        <v>0</v>
      </c>
      <c r="G244" s="1">
        <v>0</v>
      </c>
      <c r="H244" s="1">
        <v>0</v>
      </c>
      <c r="I244" s="1">
        <v>4.6999999999999999E-4</v>
      </c>
      <c r="J244" s="1" t="s">
        <v>12</v>
      </c>
      <c r="K244" t="str">
        <f>VLOOKUP(A244,metadata!A:I,9,FALSE)</f>
        <v>KS</v>
      </c>
      <c r="L244" t="str">
        <f>VLOOKUP(A244,metadata!A:F,6,FALSE)</f>
        <v>BaldwinKS</v>
      </c>
      <c r="M244">
        <f>VLOOKUP(A244,metadata!A:D,4,FALSE)</f>
        <v>38.808900000000001</v>
      </c>
      <c r="N244">
        <f>VLOOKUP(A244,metadata!A:E,5,FALSE)</f>
        <v>-95.190190000000001</v>
      </c>
    </row>
    <row r="245" spans="1:14" ht="13" hidden="1" x14ac:dyDescent="0.6">
      <c r="A245" s="1" t="s">
        <v>267</v>
      </c>
      <c r="B245" s="1" t="s">
        <v>96</v>
      </c>
      <c r="C245" s="1" t="s">
        <v>96</v>
      </c>
      <c r="D245" s="1">
        <v>0.99789000000000005</v>
      </c>
      <c r="E245" s="1">
        <v>0</v>
      </c>
      <c r="F245" s="1">
        <v>0</v>
      </c>
      <c r="G245" s="1">
        <v>0</v>
      </c>
      <c r="H245" s="1">
        <v>0</v>
      </c>
      <c r="I245" s="1">
        <v>2.1099999999999999E-3</v>
      </c>
      <c r="J245" s="1" t="s">
        <v>12</v>
      </c>
      <c r="K245" t="str">
        <f>VLOOKUP(A245,metadata!A:I,9,FALSE)</f>
        <v>KS</v>
      </c>
      <c r="L245" t="str">
        <f>VLOOKUP(A245,metadata!A:F,6,FALSE)</f>
        <v>BaldwinKS</v>
      </c>
      <c r="M245">
        <f>VLOOKUP(A245,metadata!A:D,4,FALSE)</f>
        <v>38.808700000000002</v>
      </c>
      <c r="N245">
        <f>VLOOKUP(A245,metadata!A:E,5,FALSE)</f>
        <v>-95.193889999999996</v>
      </c>
    </row>
    <row r="246" spans="1:14" ht="13" hidden="1" x14ac:dyDescent="0.6">
      <c r="A246" s="1" t="s">
        <v>268</v>
      </c>
      <c r="B246" s="1" t="s">
        <v>96</v>
      </c>
      <c r="C246" s="1" t="s">
        <v>96</v>
      </c>
      <c r="D246" s="1">
        <v>0.99948000000000004</v>
      </c>
      <c r="E246" s="1">
        <v>0</v>
      </c>
      <c r="F246" s="1">
        <v>0</v>
      </c>
      <c r="G246" s="1">
        <v>0</v>
      </c>
      <c r="H246" s="1">
        <v>0</v>
      </c>
      <c r="I246" s="1">
        <v>5.1999999999999995E-4</v>
      </c>
      <c r="J246" s="1" t="s">
        <v>12</v>
      </c>
      <c r="K246" t="str">
        <f>VLOOKUP(A246,metadata!A:I,9,FALSE)</f>
        <v>KS</v>
      </c>
      <c r="L246" t="str">
        <f>VLOOKUP(A246,metadata!A:F,6,FALSE)</f>
        <v>BaldwinKS</v>
      </c>
      <c r="M246">
        <f>VLOOKUP(A246,metadata!A:D,4,FALSE)</f>
        <v>38.808320000000002</v>
      </c>
      <c r="N246">
        <f>VLOOKUP(A246,metadata!A:E,5,FALSE)</f>
        <v>-95.194580000000002</v>
      </c>
    </row>
    <row r="247" spans="1:14" ht="13" hidden="1" x14ac:dyDescent="0.6">
      <c r="A247" s="1" t="s">
        <v>269</v>
      </c>
      <c r="B247" s="1" t="s">
        <v>11</v>
      </c>
      <c r="C247" s="1" t="s">
        <v>11</v>
      </c>
      <c r="D247" s="1">
        <v>0.99831000000000003</v>
      </c>
      <c r="E247" s="1">
        <v>0</v>
      </c>
      <c r="F247" s="1">
        <v>0</v>
      </c>
      <c r="G247" s="1">
        <v>0</v>
      </c>
      <c r="H247" s="1">
        <v>0</v>
      </c>
      <c r="I247" s="1">
        <v>1.6900000000000001E-3</v>
      </c>
      <c r="J247" s="1" t="s">
        <v>12</v>
      </c>
      <c r="K247" t="str">
        <f>VLOOKUP(A247,metadata!A:I,9,FALSE)</f>
        <v>KS</v>
      </c>
      <c r="L247" t="str">
        <f>VLOOKUP(A247,metadata!A:F,6,FALSE)</f>
        <v>BaldwinKS</v>
      </c>
      <c r="M247">
        <f>VLOOKUP(A247,metadata!A:D,4,FALSE)</f>
        <v>38.808030000000002</v>
      </c>
      <c r="N247">
        <f>VLOOKUP(A247,metadata!A:E,5,FALSE)</f>
        <v>-95.195080000000004</v>
      </c>
    </row>
    <row r="248" spans="1:14" ht="13" hidden="1" x14ac:dyDescent="0.6">
      <c r="A248" s="1" t="s">
        <v>270</v>
      </c>
      <c r="B248" s="1" t="s">
        <v>11</v>
      </c>
      <c r="C248" s="1" t="s">
        <v>11</v>
      </c>
      <c r="D248" s="1">
        <v>0.99917999999999996</v>
      </c>
      <c r="E248" s="1">
        <v>0</v>
      </c>
      <c r="F248" s="1">
        <v>0</v>
      </c>
      <c r="G248" s="1">
        <v>0</v>
      </c>
      <c r="H248" s="1">
        <v>0</v>
      </c>
      <c r="I248" s="1">
        <v>8.1999999999999998E-4</v>
      </c>
      <c r="J248" s="1" t="s">
        <v>12</v>
      </c>
      <c r="K248" t="str">
        <f>VLOOKUP(A248,metadata!A:I,9,FALSE)</f>
        <v>KS</v>
      </c>
      <c r="L248" t="str">
        <f>VLOOKUP(A248,metadata!A:F,6,FALSE)</f>
        <v>KonzaKS</v>
      </c>
      <c r="M248">
        <f>VLOOKUP(A248,metadata!A:D,4,FALSE)</f>
        <v>39.106909999999999</v>
      </c>
      <c r="N248">
        <f>VLOOKUP(A248,metadata!A:E,5,FALSE)</f>
        <v>-96.606160000000003</v>
      </c>
    </row>
    <row r="249" spans="1:14" ht="13" hidden="1" x14ac:dyDescent="0.6">
      <c r="A249" s="1" t="s">
        <v>271</v>
      </c>
      <c r="B249" s="1" t="s">
        <v>11</v>
      </c>
      <c r="C249" s="1" t="s">
        <v>11</v>
      </c>
      <c r="D249" s="1">
        <v>0.98187999999999998</v>
      </c>
      <c r="E249" s="1">
        <v>0</v>
      </c>
      <c r="F249" s="1">
        <v>0</v>
      </c>
      <c r="G249" s="1">
        <v>0</v>
      </c>
      <c r="H249" s="2">
        <v>1.0000000000000001E-5</v>
      </c>
      <c r="I249" s="1">
        <v>1.8110000000000001E-2</v>
      </c>
      <c r="J249" s="1" t="s">
        <v>12</v>
      </c>
      <c r="K249" t="str">
        <f>VLOOKUP(A249,metadata!A:I,9,FALSE)</f>
        <v>KS</v>
      </c>
      <c r="L249" t="str">
        <f>VLOOKUP(A249,metadata!A:F,6,FALSE)</f>
        <v>KonzaKS</v>
      </c>
      <c r="M249">
        <f>VLOOKUP(A249,metadata!A:D,4,FALSE)</f>
        <v>39.103389999999997</v>
      </c>
      <c r="N249">
        <f>VLOOKUP(A249,metadata!A:E,5,FALSE)</f>
        <v>-96.596159999999998</v>
      </c>
    </row>
    <row r="250" spans="1:14" ht="13" hidden="1" x14ac:dyDescent="0.6">
      <c r="A250" s="1" t="s">
        <v>272</v>
      </c>
      <c r="B250" s="1" t="s">
        <v>96</v>
      </c>
      <c r="C250" s="1" t="s">
        <v>96</v>
      </c>
      <c r="D250" s="1">
        <v>0.99995999999999996</v>
      </c>
      <c r="E250" s="1">
        <v>0</v>
      </c>
      <c r="F250" s="1">
        <v>0</v>
      </c>
      <c r="G250" s="1">
        <v>0</v>
      </c>
      <c r="H250" s="1">
        <v>0</v>
      </c>
      <c r="I250" s="2">
        <v>4.0000000000000003E-5</v>
      </c>
      <c r="J250" s="1" t="s">
        <v>12</v>
      </c>
      <c r="K250" t="str">
        <f>VLOOKUP(A250,metadata!A:I,9,FALSE)</f>
        <v>KS</v>
      </c>
      <c r="L250" t="str">
        <f>VLOOKUP(A250,metadata!A:F,6,FALSE)</f>
        <v>KonzaKS</v>
      </c>
      <c r="M250">
        <f>VLOOKUP(A250,metadata!A:D,4,FALSE)</f>
        <v>39.101579999999998</v>
      </c>
      <c r="N250">
        <f>VLOOKUP(A250,metadata!A:E,5,FALSE)</f>
        <v>-96.599819999999994</v>
      </c>
    </row>
    <row r="251" spans="1:14" ht="13" hidden="1" x14ac:dyDescent="0.6">
      <c r="A251" s="1" t="s">
        <v>273</v>
      </c>
      <c r="B251" s="1" t="s">
        <v>11</v>
      </c>
      <c r="C251" s="1" t="s">
        <v>11</v>
      </c>
      <c r="D251" s="1">
        <v>0.99977000000000005</v>
      </c>
      <c r="E251" s="1">
        <v>0</v>
      </c>
      <c r="F251" s="1">
        <v>0</v>
      </c>
      <c r="G251" s="1">
        <v>0</v>
      </c>
      <c r="H251" s="1">
        <v>0</v>
      </c>
      <c r="I251" s="1">
        <v>2.3000000000000001E-4</v>
      </c>
      <c r="J251" s="1" t="s">
        <v>12</v>
      </c>
      <c r="K251" t="str">
        <f>VLOOKUP(A251,metadata!A:I,9,FALSE)</f>
        <v>KS</v>
      </c>
      <c r="L251" t="str">
        <f>VLOOKUP(A251,metadata!A:F,6,FALSE)</f>
        <v>KonzaKS</v>
      </c>
      <c r="M251">
        <f>VLOOKUP(A251,metadata!A:D,4,FALSE)</f>
        <v>39.107909999999997</v>
      </c>
      <c r="N251">
        <f>VLOOKUP(A251,metadata!A:E,5,FALSE)</f>
        <v>-96.604690000000005</v>
      </c>
    </row>
    <row r="252" spans="1:14" ht="13" hidden="1" x14ac:dyDescent="0.6">
      <c r="A252" s="1" t="s">
        <v>274</v>
      </c>
      <c r="B252" s="1" t="s">
        <v>96</v>
      </c>
      <c r="C252" s="1" t="s">
        <v>96</v>
      </c>
      <c r="D252" s="1">
        <v>0.99968999999999997</v>
      </c>
      <c r="E252" s="1">
        <v>0</v>
      </c>
      <c r="F252" s="1">
        <v>0</v>
      </c>
      <c r="G252" s="1">
        <v>0</v>
      </c>
      <c r="H252" s="1">
        <v>0</v>
      </c>
      <c r="I252" s="1">
        <v>3.1E-4</v>
      </c>
      <c r="J252" s="1" t="s">
        <v>12</v>
      </c>
      <c r="K252" t="str">
        <f>VLOOKUP(A252,metadata!A:I,9,FALSE)</f>
        <v>KS</v>
      </c>
      <c r="L252" t="str">
        <f>VLOOKUP(A252,metadata!A:F,6,FALSE)</f>
        <v>KonzaKS</v>
      </c>
      <c r="M252">
        <f>VLOOKUP(A252,metadata!A:D,4,FALSE)</f>
        <v>39.107610000000001</v>
      </c>
      <c r="N252">
        <f>VLOOKUP(A252,metadata!A:E,5,FALSE)</f>
        <v>-96.607399999999998</v>
      </c>
    </row>
    <row r="253" spans="1:14" ht="13" hidden="1" x14ac:dyDescent="0.6">
      <c r="A253" s="1" t="s">
        <v>275</v>
      </c>
      <c r="B253" s="1" t="s">
        <v>54</v>
      </c>
      <c r="C253" s="1" t="s">
        <v>54</v>
      </c>
      <c r="D253" s="1">
        <v>0.95211999999999997</v>
      </c>
      <c r="E253" s="1">
        <v>0</v>
      </c>
      <c r="F253" s="1">
        <v>0</v>
      </c>
      <c r="G253" s="1">
        <v>0</v>
      </c>
      <c r="H253" s="1">
        <v>1.1199999999999999E-3</v>
      </c>
      <c r="I253" s="1">
        <v>4.6760000000000003E-2</v>
      </c>
      <c r="J253" s="1" t="s">
        <v>12</v>
      </c>
      <c r="K253" t="str">
        <f>VLOOKUP(A253,metadata!A:I,9,FALSE)</f>
        <v>MI</v>
      </c>
      <c r="L253" t="str">
        <f>VLOOKUP(A253,metadata!A:F,6,FALSE)</f>
        <v>ThreeRiversMI</v>
      </c>
      <c r="M253">
        <f>VLOOKUP(A253,metadata!A:D,4,FALSE)</f>
        <v>41.863079999999997</v>
      </c>
      <c r="N253">
        <f>VLOOKUP(A253,metadata!A:E,5,FALSE)</f>
        <v>-85.745509999999996</v>
      </c>
    </row>
    <row r="254" spans="1:14" ht="13" hidden="1" x14ac:dyDescent="0.6">
      <c r="A254" s="1" t="s">
        <v>276</v>
      </c>
      <c r="B254" s="1" t="s">
        <v>54</v>
      </c>
      <c r="C254" s="1" t="s">
        <v>54</v>
      </c>
      <c r="D254" s="1">
        <v>0.99224000000000001</v>
      </c>
      <c r="E254" s="1">
        <v>0</v>
      </c>
      <c r="F254" s="1">
        <v>0</v>
      </c>
      <c r="G254" s="1">
        <v>0</v>
      </c>
      <c r="H254" s="1">
        <v>7.1000000000000002E-4</v>
      </c>
      <c r="I254" s="1">
        <v>7.0499999999999998E-3</v>
      </c>
      <c r="J254" s="1" t="s">
        <v>12</v>
      </c>
      <c r="K254" t="str">
        <f>VLOOKUP(A254,metadata!A:I,9,FALSE)</f>
        <v>MI</v>
      </c>
      <c r="L254" t="str">
        <f>VLOOKUP(A254,metadata!A:F,6,FALSE)</f>
        <v>ThreeRiversMI</v>
      </c>
      <c r="M254">
        <f>VLOOKUP(A254,metadata!A:D,4,FALSE)</f>
        <v>41.74568</v>
      </c>
      <c r="N254">
        <f>VLOOKUP(A254,metadata!A:E,5,FALSE)</f>
        <v>-85.745679999999993</v>
      </c>
    </row>
    <row r="255" spans="1:14" ht="13" hidden="1" x14ac:dyDescent="0.6">
      <c r="A255" s="1" t="s">
        <v>277</v>
      </c>
      <c r="B255" s="1" t="s">
        <v>54</v>
      </c>
      <c r="C255" s="1" t="s">
        <v>54</v>
      </c>
      <c r="D255" s="1">
        <v>0.99995000000000001</v>
      </c>
      <c r="E255" s="1">
        <v>0</v>
      </c>
      <c r="F255" s="1">
        <v>0</v>
      </c>
      <c r="G255" s="1">
        <v>0</v>
      </c>
      <c r="H255" s="1">
        <v>0</v>
      </c>
      <c r="I255" s="2">
        <v>5.0000000000000002E-5</v>
      </c>
      <c r="J255" s="1" t="s">
        <v>12</v>
      </c>
      <c r="K255" t="str">
        <f>VLOOKUP(A255,metadata!A:I,9,FALSE)</f>
        <v>MI</v>
      </c>
      <c r="L255" t="str">
        <f>VLOOKUP(A255,metadata!A:F,6,FALSE)</f>
        <v>ThreeRiversMI</v>
      </c>
      <c r="M255">
        <f>VLOOKUP(A255,metadata!A:D,4,FALSE)</f>
        <v>41.861750000000001</v>
      </c>
      <c r="N255">
        <f>VLOOKUP(A255,metadata!A:E,5,FALSE)</f>
        <v>-85.745760000000004</v>
      </c>
    </row>
    <row r="256" spans="1:14" ht="13" hidden="1" x14ac:dyDescent="0.6">
      <c r="A256" s="1" t="s">
        <v>278</v>
      </c>
      <c r="B256" s="1" t="s">
        <v>54</v>
      </c>
      <c r="C256" s="1" t="s">
        <v>54</v>
      </c>
      <c r="D256" s="1">
        <v>0.99992000000000003</v>
      </c>
      <c r="E256" s="1">
        <v>0</v>
      </c>
      <c r="F256" s="1">
        <v>0</v>
      </c>
      <c r="G256" s="1">
        <v>0</v>
      </c>
      <c r="H256" s="1">
        <v>0</v>
      </c>
      <c r="I256" s="2">
        <v>8.0000000000000007E-5</v>
      </c>
      <c r="J256" s="1" t="s">
        <v>12</v>
      </c>
      <c r="K256" t="str">
        <f>VLOOKUP(A256,metadata!A:I,9,FALSE)</f>
        <v>MI</v>
      </c>
      <c r="L256" t="str">
        <f>VLOOKUP(A256,metadata!A:F,6,FALSE)</f>
        <v>ThreeRiversMI</v>
      </c>
      <c r="M256">
        <f>VLOOKUP(A256,metadata!A:D,4,FALSE)</f>
        <v>41.863979999999998</v>
      </c>
      <c r="N256">
        <f>VLOOKUP(A256,metadata!A:E,5,FALSE)</f>
        <v>-85.745729999999995</v>
      </c>
    </row>
    <row r="257" spans="1:14" ht="13" hidden="1" x14ac:dyDescent="0.6">
      <c r="A257" s="1" t="s">
        <v>279</v>
      </c>
      <c r="B257" s="1" t="s">
        <v>54</v>
      </c>
      <c r="C257" s="1" t="s">
        <v>54</v>
      </c>
      <c r="D257" s="1">
        <v>0.99983999999999995</v>
      </c>
      <c r="E257" s="1">
        <v>0</v>
      </c>
      <c r="F257" s="1">
        <v>0</v>
      </c>
      <c r="G257" s="1">
        <v>0</v>
      </c>
      <c r="H257" s="1">
        <v>0</v>
      </c>
      <c r="I257" s="1">
        <v>1.6000000000000001E-4</v>
      </c>
      <c r="J257" s="1" t="s">
        <v>12</v>
      </c>
      <c r="K257" t="str">
        <f>VLOOKUP(A257,metadata!A:I,9,FALSE)</f>
        <v>MI</v>
      </c>
      <c r="L257" t="str">
        <f>VLOOKUP(A257,metadata!A:F,6,FALSE)</f>
        <v>ThreeRiversMI</v>
      </c>
      <c r="M257">
        <f>VLOOKUP(A257,metadata!A:D,4,FALSE)</f>
        <v>41.869929999999997</v>
      </c>
      <c r="N257">
        <f>VLOOKUP(A257,metadata!A:E,5,FALSE)</f>
        <v>-85.745679999999993</v>
      </c>
    </row>
    <row r="258" spans="1:14" ht="13" hidden="1" x14ac:dyDescent="0.6">
      <c r="A258" s="1" t="s">
        <v>280</v>
      </c>
      <c r="B258" s="1" t="s">
        <v>19</v>
      </c>
      <c r="C258" s="1" t="s">
        <v>57</v>
      </c>
      <c r="D258" s="1">
        <v>0</v>
      </c>
      <c r="E258" s="1">
        <v>0.99748999999999999</v>
      </c>
      <c r="F258" s="1">
        <v>2.4599999999999999E-3</v>
      </c>
      <c r="G258" s="2">
        <v>4.0000000000000003E-5</v>
      </c>
      <c r="H258" s="1">
        <v>0</v>
      </c>
      <c r="I258" s="1">
        <v>0</v>
      </c>
      <c r="J258" s="1" t="s">
        <v>4</v>
      </c>
      <c r="K258" t="str">
        <f>VLOOKUP(A258,metadata!A:I,9,FALSE)</f>
        <v>MI</v>
      </c>
      <c r="L258" t="str">
        <f>VLOOKUP(A258,metadata!A:F,6,FALSE)</f>
        <v>PinconningMI</v>
      </c>
      <c r="M258">
        <f>VLOOKUP(A258,metadata!A:D,4,FALSE)</f>
        <v>43.853230000000003</v>
      </c>
      <c r="N258">
        <f>VLOOKUP(A258,metadata!A:E,5,FALSE)</f>
        <v>-83.923000000000002</v>
      </c>
    </row>
    <row r="259" spans="1:14" ht="13" hidden="1" x14ac:dyDescent="0.6">
      <c r="A259" s="1" t="s">
        <v>281</v>
      </c>
      <c r="B259" s="1" t="s">
        <v>11</v>
      </c>
      <c r="C259" s="1" t="s">
        <v>57</v>
      </c>
      <c r="D259" s="1">
        <v>0.74453000000000003</v>
      </c>
      <c r="E259" s="1">
        <v>0</v>
      </c>
      <c r="F259" s="1">
        <v>0</v>
      </c>
      <c r="G259" s="1">
        <v>0</v>
      </c>
      <c r="H259" s="1">
        <v>1.83E-3</v>
      </c>
      <c r="I259" s="1">
        <v>0.25363999999999998</v>
      </c>
      <c r="J259" s="1" t="s">
        <v>58</v>
      </c>
      <c r="K259" t="str">
        <f>VLOOKUP(A259,metadata!A:I,9,FALSE)</f>
        <v>MI</v>
      </c>
      <c r="L259" t="str">
        <f>VLOOKUP(A259,metadata!A:F,6,FALSE)</f>
        <v>PinconningMI</v>
      </c>
      <c r="M259">
        <f>VLOOKUP(A259,metadata!A:D,4,FALSE)</f>
        <v>43.848219999999998</v>
      </c>
      <c r="N259">
        <f>VLOOKUP(A259,metadata!A:E,5,FALSE)</f>
        <v>-83.923850000000002</v>
      </c>
    </row>
    <row r="260" spans="1:14" ht="13" hidden="1" x14ac:dyDescent="0.6">
      <c r="A260" s="1" t="s">
        <v>282</v>
      </c>
      <c r="B260" s="1" t="s">
        <v>11</v>
      </c>
      <c r="C260" s="1" t="s">
        <v>57</v>
      </c>
      <c r="D260" s="1">
        <v>4.6999999999999999E-4</v>
      </c>
      <c r="E260" s="1">
        <v>0</v>
      </c>
      <c r="F260" s="1">
        <v>0</v>
      </c>
      <c r="G260" s="2">
        <v>6.0000000000000002E-5</v>
      </c>
      <c r="H260" s="1">
        <v>7.6130000000000003E-2</v>
      </c>
      <c r="I260" s="1">
        <v>0.92334000000000005</v>
      </c>
      <c r="J260" s="1" t="s">
        <v>8</v>
      </c>
      <c r="K260" t="str">
        <f>VLOOKUP(A260,metadata!A:I,9,FALSE)</f>
        <v>MI</v>
      </c>
      <c r="L260" t="str">
        <f>VLOOKUP(A260,metadata!A:F,6,FALSE)</f>
        <v>PinconningMI</v>
      </c>
      <c r="M260">
        <f>VLOOKUP(A260,metadata!A:D,4,FALSE)</f>
        <v>43.857140000000001</v>
      </c>
      <c r="N260">
        <f>VLOOKUP(A260,metadata!A:E,5,FALSE)</f>
        <v>-83.925240000000002</v>
      </c>
    </row>
    <row r="261" spans="1:14" ht="13" hidden="1" x14ac:dyDescent="0.6">
      <c r="A261" s="1" t="s">
        <v>283</v>
      </c>
      <c r="B261" s="1" t="s">
        <v>11</v>
      </c>
      <c r="C261" s="1" t="s">
        <v>11</v>
      </c>
      <c r="D261" s="1">
        <v>0.99863999999999997</v>
      </c>
      <c r="E261" s="1">
        <v>0</v>
      </c>
      <c r="F261" s="1">
        <v>0</v>
      </c>
      <c r="G261" s="1">
        <v>0</v>
      </c>
      <c r="H261" s="1">
        <v>0</v>
      </c>
      <c r="I261" s="1">
        <v>1.3600000000000001E-3</v>
      </c>
      <c r="J261" s="1" t="s">
        <v>12</v>
      </c>
      <c r="K261" t="str">
        <f>VLOOKUP(A261,metadata!A:I,9,FALSE)</f>
        <v>MI</v>
      </c>
      <c r="L261" t="str">
        <f>VLOOKUP(A261,metadata!A:F,6,FALSE)</f>
        <v>AnnArborMI</v>
      </c>
      <c r="M261">
        <f>VLOOKUP(A261,metadata!A:D,4,FALSE)</f>
        <v>42.30836</v>
      </c>
      <c r="N261">
        <f>VLOOKUP(A261,metadata!A:E,5,FALSE)</f>
        <v>-83.756709999999998</v>
      </c>
    </row>
    <row r="262" spans="1:14" ht="13" hidden="1" x14ac:dyDescent="0.6">
      <c r="A262" s="1" t="s">
        <v>284</v>
      </c>
      <c r="B262" s="1" t="s">
        <v>54</v>
      </c>
      <c r="C262" s="1" t="s">
        <v>54</v>
      </c>
      <c r="D262" s="1">
        <v>0.99960000000000004</v>
      </c>
      <c r="E262" s="1">
        <v>0</v>
      </c>
      <c r="F262" s="1">
        <v>0</v>
      </c>
      <c r="G262" s="1">
        <v>0</v>
      </c>
      <c r="H262" s="1">
        <v>0</v>
      </c>
      <c r="I262" s="1">
        <v>3.8999999999999999E-4</v>
      </c>
      <c r="J262" s="1" t="s">
        <v>12</v>
      </c>
      <c r="K262" t="str">
        <f>VLOOKUP(A262,metadata!A:I,9,FALSE)</f>
        <v>MI</v>
      </c>
      <c r="L262" t="str">
        <f>VLOOKUP(A262,metadata!A:F,6,FALSE)</f>
        <v>AnnArborMI</v>
      </c>
      <c r="M262">
        <f>VLOOKUP(A262,metadata!A:D,4,FALSE)</f>
        <v>42.304740000000002</v>
      </c>
      <c r="N262">
        <f>VLOOKUP(A262,metadata!A:E,5,FALSE)</f>
        <v>-83.750799999999998</v>
      </c>
    </row>
    <row r="263" spans="1:14" ht="13" hidden="1" x14ac:dyDescent="0.6">
      <c r="A263" s="1" t="s">
        <v>285</v>
      </c>
      <c r="B263" s="1" t="s">
        <v>11</v>
      </c>
      <c r="C263" s="1" t="s">
        <v>57</v>
      </c>
      <c r="D263" s="1">
        <v>0.81557999999999997</v>
      </c>
      <c r="E263" s="1">
        <v>0</v>
      </c>
      <c r="F263" s="1">
        <v>0</v>
      </c>
      <c r="G263" s="1">
        <v>0</v>
      </c>
      <c r="H263" s="1">
        <v>3.3E-4</v>
      </c>
      <c r="I263" s="1">
        <v>0.18410000000000001</v>
      </c>
      <c r="J263" s="1" t="s">
        <v>58</v>
      </c>
      <c r="K263" t="str">
        <f>VLOOKUP(A263,metadata!A:I,9,FALSE)</f>
        <v>MI</v>
      </c>
      <c r="L263" t="str">
        <f>VLOOKUP(A263,metadata!A:F,6,FALSE)</f>
        <v>AnnArborMI</v>
      </c>
      <c r="M263">
        <f>VLOOKUP(A263,metadata!A:D,4,FALSE)</f>
        <v>42.304040000000001</v>
      </c>
      <c r="N263">
        <f>VLOOKUP(A263,metadata!A:E,5,FALSE)</f>
        <v>-83.749660000000006</v>
      </c>
    </row>
    <row r="264" spans="1:14" ht="13" hidden="1" x14ac:dyDescent="0.6">
      <c r="A264" s="1" t="s">
        <v>286</v>
      </c>
      <c r="B264" s="1" t="s">
        <v>54</v>
      </c>
      <c r="C264" s="1" t="s">
        <v>54</v>
      </c>
      <c r="D264" s="1">
        <v>0.99968999999999997</v>
      </c>
      <c r="E264" s="1">
        <v>0</v>
      </c>
      <c r="F264" s="1">
        <v>0</v>
      </c>
      <c r="G264" s="1">
        <v>0</v>
      </c>
      <c r="H264" s="1">
        <v>0</v>
      </c>
      <c r="I264" s="1">
        <v>3.1E-4</v>
      </c>
      <c r="J264" s="1" t="s">
        <v>12</v>
      </c>
      <c r="K264" t="str">
        <f>VLOOKUP(A264,metadata!A:I,9,FALSE)</f>
        <v>MI</v>
      </c>
      <c r="L264" t="str">
        <f>VLOOKUP(A264,metadata!A:F,6,FALSE)</f>
        <v>AnnArborMI</v>
      </c>
      <c r="M264">
        <f>VLOOKUP(A264,metadata!A:D,4,FALSE)</f>
        <v>42.302039999999998</v>
      </c>
      <c r="N264">
        <f>VLOOKUP(A264,metadata!A:E,5,FALSE)</f>
        <v>-83.750240000000005</v>
      </c>
    </row>
    <row r="265" spans="1:14" ht="13" hidden="1" x14ac:dyDescent="0.6">
      <c r="A265" s="1" t="s">
        <v>287</v>
      </c>
      <c r="B265" s="1" t="s">
        <v>11</v>
      </c>
      <c r="C265" s="1" t="s">
        <v>57</v>
      </c>
      <c r="D265" s="1">
        <v>0.49913000000000002</v>
      </c>
      <c r="E265" s="1">
        <v>0</v>
      </c>
      <c r="F265" s="1">
        <v>0</v>
      </c>
      <c r="G265" s="1">
        <v>0</v>
      </c>
      <c r="H265" s="1">
        <v>8.5699999999999995E-3</v>
      </c>
      <c r="I265" s="1">
        <v>0.49230000000000002</v>
      </c>
      <c r="J265" s="1" t="s">
        <v>58</v>
      </c>
      <c r="K265" t="str">
        <f>VLOOKUP(A265,metadata!A:I,9,FALSE)</f>
        <v>MI</v>
      </c>
      <c r="L265" t="str">
        <f>VLOOKUP(A265,metadata!A:F,6,FALSE)</f>
        <v>AnnArborMI</v>
      </c>
      <c r="M265">
        <f>VLOOKUP(A265,metadata!A:D,4,FALSE)</f>
        <v>42.30153</v>
      </c>
      <c r="N265">
        <f>VLOOKUP(A265,metadata!A:E,5,FALSE)</f>
        <v>-83.751080000000002</v>
      </c>
    </row>
    <row r="266" spans="1:14" ht="13" hidden="1" x14ac:dyDescent="0.6">
      <c r="A266" s="1" t="s">
        <v>288</v>
      </c>
      <c r="B266" s="1" t="s">
        <v>54</v>
      </c>
      <c r="C266" s="1" t="s">
        <v>54</v>
      </c>
      <c r="D266" s="1">
        <v>0.99846000000000001</v>
      </c>
      <c r="E266" s="1">
        <v>0</v>
      </c>
      <c r="F266" s="1">
        <v>0</v>
      </c>
      <c r="G266" s="1">
        <v>0</v>
      </c>
      <c r="H266" s="2">
        <v>3.0000000000000001E-5</v>
      </c>
      <c r="I266" s="1">
        <v>1.5200000000000001E-3</v>
      </c>
      <c r="J266" s="1" t="s">
        <v>12</v>
      </c>
      <c r="K266" t="str">
        <f>VLOOKUP(A266,metadata!A:I,9,FALSE)</f>
        <v>MI</v>
      </c>
      <c r="L266" t="str">
        <f>VLOOKUP(A266,metadata!A:F,6,FALSE)</f>
        <v>AnnArborMI</v>
      </c>
      <c r="M266">
        <f>VLOOKUP(A266,metadata!A:D,4,FALSE)</f>
        <v>42.308810000000001</v>
      </c>
      <c r="N266">
        <f>VLOOKUP(A266,metadata!A:E,5,FALSE)</f>
        <v>-83.757180000000005</v>
      </c>
    </row>
    <row r="267" spans="1:14" ht="13" hidden="1" x14ac:dyDescent="0.6">
      <c r="A267" s="1" t="s">
        <v>289</v>
      </c>
      <c r="B267" s="1" t="s">
        <v>54</v>
      </c>
      <c r="C267" s="1" t="s">
        <v>54</v>
      </c>
      <c r="D267" s="1">
        <v>0.99997000000000003</v>
      </c>
      <c r="E267" s="1">
        <v>0</v>
      </c>
      <c r="F267" s="1">
        <v>0</v>
      </c>
      <c r="G267" s="1">
        <v>0</v>
      </c>
      <c r="H267" s="1">
        <v>0</v>
      </c>
      <c r="I267" s="2">
        <v>3.0000000000000001E-5</v>
      </c>
      <c r="J267" s="1" t="s">
        <v>12</v>
      </c>
      <c r="K267" t="str">
        <f>VLOOKUP(A267,metadata!A:I,9,FALSE)</f>
        <v>MI</v>
      </c>
      <c r="L267" t="str">
        <f>VLOOKUP(A267,metadata!A:F,6,FALSE)</f>
        <v>EastLansingMI</v>
      </c>
      <c r="M267">
        <f>VLOOKUP(A267,metadata!A:D,4,FALSE)</f>
        <v>42.767740000000003</v>
      </c>
      <c r="N267">
        <f>VLOOKUP(A267,metadata!A:E,5,FALSE)</f>
        <v>-84.391239999999996</v>
      </c>
    </row>
    <row r="268" spans="1:14" ht="13" hidden="1" x14ac:dyDescent="0.6">
      <c r="A268" s="1" t="s">
        <v>290</v>
      </c>
      <c r="B268" s="1" t="s">
        <v>29</v>
      </c>
      <c r="C268" s="1" t="s">
        <v>29</v>
      </c>
      <c r="D268" s="1">
        <v>0.99724999999999997</v>
      </c>
      <c r="E268" s="1">
        <v>0</v>
      </c>
      <c r="F268" s="1">
        <v>0</v>
      </c>
      <c r="G268" s="1">
        <v>0</v>
      </c>
      <c r="H268" s="1">
        <v>0</v>
      </c>
      <c r="I268" s="1">
        <v>2.7499999999999998E-3</v>
      </c>
      <c r="J268" s="1" t="s">
        <v>12</v>
      </c>
      <c r="K268" t="str">
        <f>VLOOKUP(A268,metadata!A:I,9,FALSE)</f>
        <v>MI</v>
      </c>
      <c r="L268" t="str">
        <f>VLOOKUP(A268,metadata!A:F,6,FALSE)</f>
        <v>EastLansingMI</v>
      </c>
      <c r="M268">
        <f>VLOOKUP(A268,metadata!A:D,4,FALSE)</f>
        <v>42.767429999999997</v>
      </c>
      <c r="N268">
        <f>VLOOKUP(A268,metadata!A:E,5,FALSE)</f>
        <v>-84.390799999999999</v>
      </c>
    </row>
    <row r="269" spans="1:14" ht="13" hidden="1" x14ac:dyDescent="0.6">
      <c r="A269" s="1" t="s">
        <v>291</v>
      </c>
      <c r="B269" s="1" t="s">
        <v>54</v>
      </c>
      <c r="C269" s="1" t="s">
        <v>54</v>
      </c>
      <c r="D269" s="1">
        <v>0.99827999999999995</v>
      </c>
      <c r="E269" s="1">
        <v>0</v>
      </c>
      <c r="F269" s="1">
        <v>0</v>
      </c>
      <c r="G269" s="1">
        <v>0</v>
      </c>
      <c r="H269" s="2">
        <v>4.0000000000000003E-5</v>
      </c>
      <c r="I269" s="1">
        <v>1.6800000000000001E-3</v>
      </c>
      <c r="J269" s="1" t="s">
        <v>12</v>
      </c>
      <c r="K269" t="str">
        <f>VLOOKUP(A269,metadata!A:I,9,FALSE)</f>
        <v>MI</v>
      </c>
      <c r="L269" t="str">
        <f>VLOOKUP(A269,metadata!A:F,6,FALSE)</f>
        <v>EastLansingMI</v>
      </c>
      <c r="M269">
        <f>VLOOKUP(A269,metadata!A:D,4,FALSE)</f>
        <v>42.768070000000002</v>
      </c>
      <c r="N269">
        <f>VLOOKUP(A269,metadata!A:E,5,FALSE)</f>
        <v>-84.390439999999998</v>
      </c>
    </row>
    <row r="270" spans="1:14" ht="13" hidden="1" x14ac:dyDescent="0.6">
      <c r="A270" s="1" t="s">
        <v>292</v>
      </c>
      <c r="B270" s="1" t="s">
        <v>54</v>
      </c>
      <c r="C270" s="1" t="s">
        <v>54</v>
      </c>
      <c r="D270" s="1">
        <v>0.99904999999999999</v>
      </c>
      <c r="E270" s="1">
        <v>0</v>
      </c>
      <c r="F270" s="1">
        <v>0</v>
      </c>
      <c r="G270" s="1">
        <v>0</v>
      </c>
      <c r="H270" s="2">
        <v>1.0000000000000001E-5</v>
      </c>
      <c r="I270" s="1">
        <v>9.3999999999999997E-4</v>
      </c>
      <c r="J270" s="1" t="s">
        <v>12</v>
      </c>
      <c r="K270" t="str">
        <f>VLOOKUP(A270,metadata!A:I,9,FALSE)</f>
        <v>MI</v>
      </c>
      <c r="L270" t="str">
        <f>VLOOKUP(A270,metadata!A:F,6,FALSE)</f>
        <v>EastLansingMI</v>
      </c>
      <c r="M270">
        <f>VLOOKUP(A270,metadata!A:D,4,FALSE)</f>
        <v>42.766620000000003</v>
      </c>
      <c r="N270">
        <f>VLOOKUP(A270,metadata!A:E,5,FALSE)</f>
        <v>-84.391139999999993</v>
      </c>
    </row>
    <row r="271" spans="1:14" ht="13" hidden="1" x14ac:dyDescent="0.6">
      <c r="A271" s="1" t="s">
        <v>293</v>
      </c>
      <c r="B271" s="1" t="s">
        <v>19</v>
      </c>
      <c r="C271" s="1" t="s">
        <v>57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 t="s">
        <v>4</v>
      </c>
      <c r="K271" t="str">
        <f>VLOOKUP(A271,metadata!A:I,9,FALSE)</f>
        <v>MI</v>
      </c>
      <c r="L271" t="str">
        <f>VLOOKUP(A271,metadata!A:F,6,FALSE)</f>
        <v>EastLansingMI</v>
      </c>
      <c r="M271">
        <f>VLOOKUP(A271,metadata!A:D,4,FALSE)</f>
        <v>42.765259999999998</v>
      </c>
      <c r="N271">
        <f>VLOOKUP(A271,metadata!A:E,5,FALSE)</f>
        <v>-84.382540000000006</v>
      </c>
    </row>
    <row r="272" spans="1:14" ht="13" hidden="1" x14ac:dyDescent="0.6">
      <c r="A272" s="1" t="s">
        <v>294</v>
      </c>
      <c r="B272" s="1" t="s">
        <v>54</v>
      </c>
      <c r="C272" s="1" t="s">
        <v>54</v>
      </c>
      <c r="D272" s="1">
        <v>0.99950000000000006</v>
      </c>
      <c r="E272" s="1">
        <v>0</v>
      </c>
      <c r="F272" s="1">
        <v>0</v>
      </c>
      <c r="G272" s="1">
        <v>0</v>
      </c>
      <c r="H272" s="1">
        <v>0</v>
      </c>
      <c r="I272" s="2">
        <v>5.0000000000000001E-4</v>
      </c>
      <c r="J272" s="1" t="s">
        <v>12</v>
      </c>
      <c r="K272" t="str">
        <f>VLOOKUP(A272,metadata!A:I,9,FALSE)</f>
        <v>MI</v>
      </c>
      <c r="L272" t="str">
        <f>VLOOKUP(A272,metadata!A:F,6,FALSE)</f>
        <v>EastLansingMI</v>
      </c>
      <c r="M272">
        <f>VLOOKUP(A272,metadata!A:D,4,FALSE)</f>
        <v>42.765120000000003</v>
      </c>
      <c r="N272">
        <f>VLOOKUP(A272,metadata!A:E,5,FALSE)</f>
        <v>-84.382360000000006</v>
      </c>
    </row>
    <row r="273" spans="1:14" ht="13" hidden="1" x14ac:dyDescent="0.6">
      <c r="A273" s="1" t="s">
        <v>295</v>
      </c>
      <c r="B273" s="1" t="s">
        <v>11</v>
      </c>
      <c r="C273" s="1" t="s">
        <v>11</v>
      </c>
      <c r="D273" s="1">
        <v>0.99868000000000001</v>
      </c>
      <c r="E273" s="1">
        <v>0</v>
      </c>
      <c r="F273" s="1">
        <v>0</v>
      </c>
      <c r="G273" s="1">
        <v>0</v>
      </c>
      <c r="H273" s="1">
        <v>0</v>
      </c>
      <c r="I273" s="1">
        <v>1.32E-3</v>
      </c>
      <c r="J273" s="1" t="s">
        <v>12</v>
      </c>
      <c r="K273" t="str">
        <f>VLOOKUP(A273,metadata!A:I,9,FALSE)</f>
        <v>WI</v>
      </c>
      <c r="L273" t="str">
        <f>VLOOKUP(A273,metadata!A:F,6,FALSE)</f>
        <v>DodgevilleWI</v>
      </c>
      <c r="M273">
        <f>VLOOKUP(A273,metadata!A:D,4,FALSE)</f>
        <v>43.01643</v>
      </c>
      <c r="N273">
        <f>VLOOKUP(A273,metadata!A:E,5,FALSE)</f>
        <v>-90.114180000000005</v>
      </c>
    </row>
    <row r="274" spans="1:14" ht="13" hidden="1" x14ac:dyDescent="0.6">
      <c r="A274" s="1" t="s">
        <v>296</v>
      </c>
      <c r="B274" s="1" t="s">
        <v>11</v>
      </c>
      <c r="C274" s="1" t="s">
        <v>11</v>
      </c>
      <c r="D274" s="1">
        <v>0.99948000000000004</v>
      </c>
      <c r="E274" s="1">
        <v>0</v>
      </c>
      <c r="F274" s="1">
        <v>0</v>
      </c>
      <c r="G274" s="1">
        <v>0</v>
      </c>
      <c r="H274" s="1">
        <v>0</v>
      </c>
      <c r="I274" s="1">
        <v>5.1999999999999995E-4</v>
      </c>
      <c r="J274" s="1" t="s">
        <v>12</v>
      </c>
      <c r="K274" t="str">
        <f>VLOOKUP(A274,metadata!A:I,9,FALSE)</f>
        <v>WI</v>
      </c>
      <c r="L274" t="str">
        <f>VLOOKUP(A274,metadata!A:F,6,FALSE)</f>
        <v>DodgevilleWI</v>
      </c>
      <c r="M274">
        <f>VLOOKUP(A274,metadata!A:D,4,FALSE)</f>
        <v>43.016849999999998</v>
      </c>
      <c r="N274">
        <f>VLOOKUP(A274,metadata!A:E,5,FALSE)</f>
        <v>-90.114810000000006</v>
      </c>
    </row>
    <row r="275" spans="1:14" ht="13" hidden="1" x14ac:dyDescent="0.6">
      <c r="A275" s="1" t="s">
        <v>297</v>
      </c>
      <c r="B275" s="1" t="s">
        <v>11</v>
      </c>
      <c r="C275" s="1" t="s">
        <v>11</v>
      </c>
      <c r="D275" s="1">
        <v>0.99663000000000002</v>
      </c>
      <c r="E275" s="1">
        <v>0</v>
      </c>
      <c r="F275" s="1">
        <v>0</v>
      </c>
      <c r="G275" s="1">
        <v>0</v>
      </c>
      <c r="H275" s="1">
        <v>0</v>
      </c>
      <c r="I275" s="1">
        <v>3.3700000000000002E-3</v>
      </c>
      <c r="J275" s="1" t="s">
        <v>12</v>
      </c>
      <c r="K275" t="str">
        <f>VLOOKUP(A275,metadata!A:I,9,FALSE)</f>
        <v>WI</v>
      </c>
      <c r="L275" t="str">
        <f>VLOOKUP(A275,metadata!A:F,6,FALSE)</f>
        <v>DodgevilleWI</v>
      </c>
      <c r="M275">
        <f>VLOOKUP(A275,metadata!A:D,4,FALSE)</f>
        <v>43.021279999999997</v>
      </c>
      <c r="N275">
        <f>VLOOKUP(A275,metadata!A:E,5,FALSE)</f>
        <v>-90.116950000000003</v>
      </c>
    </row>
    <row r="276" spans="1:14" ht="13" hidden="1" x14ac:dyDescent="0.6">
      <c r="A276" s="1" t="s">
        <v>298</v>
      </c>
      <c r="B276" s="1" t="s">
        <v>54</v>
      </c>
      <c r="C276" s="1" t="s">
        <v>54</v>
      </c>
      <c r="D276" s="1">
        <v>0.99973000000000001</v>
      </c>
      <c r="E276" s="1">
        <v>0</v>
      </c>
      <c r="F276" s="1">
        <v>0</v>
      </c>
      <c r="G276" s="1">
        <v>0</v>
      </c>
      <c r="H276" s="1">
        <v>0</v>
      </c>
      <c r="I276" s="1">
        <v>2.7E-4</v>
      </c>
      <c r="J276" s="1" t="s">
        <v>12</v>
      </c>
      <c r="K276" t="str">
        <f>VLOOKUP(A276,metadata!A:I,9,FALSE)</f>
        <v>WI</v>
      </c>
      <c r="L276" t="str">
        <f>VLOOKUP(A276,metadata!A:F,6,FALSE)</f>
        <v>DodgevilleWI</v>
      </c>
      <c r="M276">
        <f>VLOOKUP(A276,metadata!A:D,4,FALSE)</f>
        <v>43.02158</v>
      </c>
      <c r="N276">
        <f>VLOOKUP(A276,metadata!A:E,5,FALSE)</f>
        <v>-90.118099999999998</v>
      </c>
    </row>
    <row r="277" spans="1:14" ht="13" hidden="1" x14ac:dyDescent="0.6">
      <c r="A277" s="1" t="s">
        <v>299</v>
      </c>
      <c r="B277" s="1" t="s">
        <v>11</v>
      </c>
      <c r="C277" s="1" t="s">
        <v>11</v>
      </c>
      <c r="D277" s="1">
        <v>0.99836000000000003</v>
      </c>
      <c r="E277" s="1">
        <v>0</v>
      </c>
      <c r="F277" s="1">
        <v>0</v>
      </c>
      <c r="G277" s="1">
        <v>0</v>
      </c>
      <c r="H277" s="1">
        <v>0</v>
      </c>
      <c r="I277" s="1">
        <v>1.64E-3</v>
      </c>
      <c r="J277" s="1" t="s">
        <v>12</v>
      </c>
      <c r="K277" t="str">
        <f>VLOOKUP(A277,metadata!A:I,9,FALSE)</f>
        <v>WI</v>
      </c>
      <c r="L277" t="str">
        <f>VLOOKUP(A277,metadata!A:F,6,FALSE)</f>
        <v>DodgevilleWI</v>
      </c>
      <c r="M277">
        <f>VLOOKUP(A277,metadata!A:D,4,FALSE)</f>
        <v>43.02073</v>
      </c>
      <c r="N277">
        <f>VLOOKUP(A277,metadata!A:E,5,FALSE)</f>
        <v>-90.117710000000002</v>
      </c>
    </row>
    <row r="278" spans="1:14" ht="13" hidden="1" x14ac:dyDescent="0.6">
      <c r="A278" s="1" t="s">
        <v>300</v>
      </c>
      <c r="B278" s="1" t="s">
        <v>11</v>
      </c>
      <c r="C278" s="1" t="s">
        <v>11</v>
      </c>
      <c r="D278" s="1">
        <v>0.99709000000000003</v>
      </c>
      <c r="E278" s="1">
        <v>0</v>
      </c>
      <c r="F278" s="1">
        <v>0</v>
      </c>
      <c r="G278" s="1">
        <v>0</v>
      </c>
      <c r="H278" s="1">
        <v>0</v>
      </c>
      <c r="I278" s="1">
        <v>2.9099999999999998E-3</v>
      </c>
      <c r="J278" s="1" t="s">
        <v>12</v>
      </c>
      <c r="K278" t="str">
        <f>VLOOKUP(A278,metadata!A:I,9,FALSE)</f>
        <v>WI</v>
      </c>
      <c r="L278" t="str">
        <f>VLOOKUP(A278,metadata!A:F,6,FALSE)</f>
        <v>DodgevilleWI</v>
      </c>
      <c r="M278">
        <f>VLOOKUP(A278,metadata!A:D,4,FALSE)</f>
        <v>43.019300000000001</v>
      </c>
      <c r="N278">
        <f>VLOOKUP(A278,metadata!A:E,5,FALSE)</f>
        <v>-90.116919999999993</v>
      </c>
    </row>
    <row r="279" spans="1:14" ht="13" hidden="1" x14ac:dyDescent="0.6">
      <c r="A279" s="1" t="s">
        <v>301</v>
      </c>
      <c r="B279" s="1" t="s">
        <v>11</v>
      </c>
      <c r="C279" s="1" t="s">
        <v>11</v>
      </c>
      <c r="D279" s="1">
        <v>0.96831</v>
      </c>
      <c r="E279" s="1">
        <v>0</v>
      </c>
      <c r="F279" s="1">
        <v>0</v>
      </c>
      <c r="G279" s="1">
        <v>0</v>
      </c>
      <c r="H279" s="2">
        <v>1E-4</v>
      </c>
      <c r="I279" s="1">
        <v>3.1579999999999997E-2</v>
      </c>
      <c r="J279" s="1" t="s">
        <v>12</v>
      </c>
      <c r="K279" t="str">
        <f>VLOOKUP(A279,metadata!A:I,9,FALSE)</f>
        <v>WI</v>
      </c>
      <c r="L279" t="str">
        <f>VLOOKUP(A279,metadata!A:F,6,FALSE)</f>
        <v>DodgevilleWI</v>
      </c>
      <c r="M279">
        <f>VLOOKUP(A279,metadata!A:D,4,FALSE)</f>
        <v>43.018279999999997</v>
      </c>
      <c r="N279">
        <f>VLOOKUP(A279,metadata!A:E,5,FALSE)</f>
        <v>-90.117009999999993</v>
      </c>
    </row>
    <row r="280" spans="1:14" ht="13" hidden="1" x14ac:dyDescent="0.6">
      <c r="A280" s="1" t="s">
        <v>302</v>
      </c>
      <c r="B280" s="1" t="s">
        <v>54</v>
      </c>
      <c r="C280" s="1" t="s">
        <v>20</v>
      </c>
      <c r="D280" s="1">
        <v>3.0849999999999999E-2</v>
      </c>
      <c r="E280" s="1">
        <v>0</v>
      </c>
      <c r="F280" s="1">
        <v>0</v>
      </c>
      <c r="G280" s="1">
        <v>0</v>
      </c>
      <c r="H280" s="1">
        <v>0.59340999999999999</v>
      </c>
      <c r="I280" s="1">
        <v>0.37574000000000002</v>
      </c>
      <c r="J280" s="1" t="s">
        <v>145</v>
      </c>
      <c r="K280" t="str">
        <f>VLOOKUP(A280,metadata!A:I,9,FALSE)</f>
        <v>WI</v>
      </c>
      <c r="L280" t="str">
        <f>VLOOKUP(A280,metadata!A:F,6,FALSE)</f>
        <v>DodgevilleWI</v>
      </c>
      <c r="M280">
        <f>VLOOKUP(A280,metadata!A:D,4,FALSE)</f>
        <v>43.018169999999998</v>
      </c>
      <c r="N280">
        <f>VLOOKUP(A280,metadata!A:E,5,FALSE)</f>
        <v>-90.116789999999995</v>
      </c>
    </row>
    <row r="281" spans="1:14" ht="13" hidden="1" x14ac:dyDescent="0.6">
      <c r="A281" s="1" t="s">
        <v>303</v>
      </c>
      <c r="B281" s="1" t="s">
        <v>11</v>
      </c>
      <c r="C281" s="1" t="s">
        <v>11</v>
      </c>
      <c r="D281" s="1">
        <v>0.99956</v>
      </c>
      <c r="E281" s="1">
        <v>0</v>
      </c>
      <c r="F281" s="1">
        <v>0</v>
      </c>
      <c r="G281" s="1">
        <v>0</v>
      </c>
      <c r="H281" s="1">
        <v>0</v>
      </c>
      <c r="I281" s="1">
        <v>4.4000000000000002E-4</v>
      </c>
      <c r="J281" s="1" t="s">
        <v>12</v>
      </c>
      <c r="K281" t="str">
        <f>VLOOKUP(A281,metadata!A:I,9,FALSE)</f>
        <v>WI</v>
      </c>
      <c r="L281" t="str">
        <f>VLOOKUP(A281,metadata!A:F,6,FALSE)</f>
        <v>DodgevilleWI</v>
      </c>
      <c r="M281">
        <f>VLOOKUP(A281,metadata!A:D,4,FALSE)</f>
        <v>43.02037</v>
      </c>
      <c r="N281">
        <f>VLOOKUP(A281,metadata!A:E,5,FALSE)</f>
        <v>-90.116540000000001</v>
      </c>
    </row>
    <row r="282" spans="1:14" ht="13" hidden="1" x14ac:dyDescent="0.6">
      <c r="A282" s="1" t="s">
        <v>304</v>
      </c>
      <c r="B282" s="1" t="s">
        <v>54</v>
      </c>
      <c r="C282" s="1" t="s">
        <v>54</v>
      </c>
      <c r="D282" s="1">
        <v>0.99970999999999999</v>
      </c>
      <c r="E282" s="1">
        <v>0</v>
      </c>
      <c r="F282" s="1">
        <v>0</v>
      </c>
      <c r="G282" s="1">
        <v>0</v>
      </c>
      <c r="H282" s="1">
        <v>0</v>
      </c>
      <c r="I282" s="1">
        <v>2.7999999999999998E-4</v>
      </c>
      <c r="J282" s="1" t="s">
        <v>12</v>
      </c>
      <c r="K282" t="str">
        <f>VLOOKUP(A282,metadata!A:I,9,FALSE)</f>
        <v>WI</v>
      </c>
      <c r="L282" t="str">
        <f>VLOOKUP(A282,metadata!A:F,6,FALSE)</f>
        <v>DodgevilleWI</v>
      </c>
      <c r="M282">
        <f>VLOOKUP(A282,metadata!A:D,4,FALSE)</f>
        <v>43.015630000000002</v>
      </c>
      <c r="N282">
        <f>VLOOKUP(A282,metadata!A:E,5,FALSE)</f>
        <v>-90.113569999999996</v>
      </c>
    </row>
    <row r="283" spans="1:14" ht="13" hidden="1" x14ac:dyDescent="0.6">
      <c r="A283" s="1" t="s">
        <v>305</v>
      </c>
      <c r="B283" s="1" t="s">
        <v>11</v>
      </c>
      <c r="C283" s="1" t="s">
        <v>11</v>
      </c>
      <c r="D283" s="1">
        <v>0.99848999999999999</v>
      </c>
      <c r="E283" s="1">
        <v>0</v>
      </c>
      <c r="F283" s="1">
        <v>0</v>
      </c>
      <c r="G283" s="1">
        <v>0</v>
      </c>
      <c r="H283" s="1">
        <v>0</v>
      </c>
      <c r="I283" s="1">
        <v>1.5100000000000001E-3</v>
      </c>
      <c r="J283" s="1" t="s">
        <v>12</v>
      </c>
      <c r="K283" t="str">
        <f>VLOOKUP(A283,metadata!A:I,9,FALSE)</f>
        <v>WI</v>
      </c>
      <c r="L283" t="str">
        <f>VLOOKUP(A283,metadata!A:F,6,FALSE)</f>
        <v>OttawaWI</v>
      </c>
      <c r="M283">
        <f>VLOOKUP(A283,metadata!A:D,4,FALSE)</f>
        <v>43.015459999999997</v>
      </c>
      <c r="N283">
        <f>VLOOKUP(A283,metadata!A:E,5,FALSE)</f>
        <v>-88.442509999999999</v>
      </c>
    </row>
    <row r="284" spans="1:14" ht="13" hidden="1" x14ac:dyDescent="0.6">
      <c r="A284" s="1" t="s">
        <v>306</v>
      </c>
      <c r="B284" s="1" t="s">
        <v>19</v>
      </c>
      <c r="C284" s="1" t="s">
        <v>20</v>
      </c>
      <c r="D284" s="1">
        <v>0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 t="s">
        <v>4</v>
      </c>
      <c r="K284" t="str">
        <f>VLOOKUP(A284,metadata!A:I,9,FALSE)</f>
        <v>WI</v>
      </c>
      <c r="L284" t="str">
        <f>VLOOKUP(A284,metadata!A:F,6,FALSE)</f>
        <v>OttawaWI</v>
      </c>
      <c r="M284">
        <f>VLOOKUP(A284,metadata!A:D,4,FALSE)</f>
        <v>43.015740000000001</v>
      </c>
      <c r="N284">
        <f>VLOOKUP(A284,metadata!A:E,5,FALSE)</f>
        <v>-88.442549999999997</v>
      </c>
    </row>
    <row r="285" spans="1:14" ht="13" hidden="1" x14ac:dyDescent="0.6">
      <c r="A285" s="1" t="s">
        <v>307</v>
      </c>
      <c r="B285" s="1" t="s">
        <v>54</v>
      </c>
      <c r="C285" s="1" t="s">
        <v>54</v>
      </c>
      <c r="D285" s="1">
        <v>0.99060000000000004</v>
      </c>
      <c r="E285" s="1">
        <v>0</v>
      </c>
      <c r="F285" s="1">
        <v>0</v>
      </c>
      <c r="G285" s="1">
        <v>0</v>
      </c>
      <c r="H285" s="1">
        <v>7.1000000000000002E-4</v>
      </c>
      <c r="I285" s="1">
        <v>8.6800000000000002E-3</v>
      </c>
      <c r="J285" s="1" t="s">
        <v>12</v>
      </c>
      <c r="K285" t="str">
        <f>VLOOKUP(A285,metadata!A:I,9,FALSE)</f>
        <v>WI</v>
      </c>
      <c r="L285" t="str">
        <f>VLOOKUP(A285,metadata!A:F,6,FALSE)</f>
        <v>OttawaWI</v>
      </c>
      <c r="M285">
        <f>VLOOKUP(A285,metadata!A:D,4,FALSE)</f>
        <v>43.017919999999997</v>
      </c>
      <c r="N285">
        <f>VLOOKUP(A285,metadata!A:E,5,FALSE)</f>
        <v>-88.437780000000004</v>
      </c>
    </row>
    <row r="286" spans="1:14" ht="13" hidden="1" x14ac:dyDescent="0.6">
      <c r="A286" s="1" t="s">
        <v>308</v>
      </c>
      <c r="B286" s="1" t="s">
        <v>11</v>
      </c>
      <c r="C286" s="1" t="s">
        <v>11</v>
      </c>
      <c r="D286" s="1">
        <v>0.96384999999999998</v>
      </c>
      <c r="E286" s="1">
        <v>0</v>
      </c>
      <c r="F286" s="1">
        <v>0</v>
      </c>
      <c r="G286" s="1">
        <v>0</v>
      </c>
      <c r="H286" s="1">
        <v>3.63E-3</v>
      </c>
      <c r="I286" s="1">
        <v>3.2530000000000003E-2</v>
      </c>
      <c r="J286" s="1" t="s">
        <v>12</v>
      </c>
      <c r="K286" t="str">
        <f>VLOOKUP(A286,metadata!A:I,9,FALSE)</f>
        <v>WI</v>
      </c>
      <c r="L286" t="str">
        <f>VLOOKUP(A286,metadata!A:F,6,FALSE)</f>
        <v>OttawaWI</v>
      </c>
      <c r="M286">
        <f>VLOOKUP(A286,metadata!A:D,4,FALSE)</f>
        <v>43.018380000000001</v>
      </c>
      <c r="N286">
        <f>VLOOKUP(A286,metadata!A:E,5,FALSE)</f>
        <v>-88.43741</v>
      </c>
    </row>
    <row r="287" spans="1:14" ht="13" hidden="1" x14ac:dyDescent="0.6">
      <c r="A287" s="1" t="s">
        <v>309</v>
      </c>
      <c r="B287" s="1" t="s">
        <v>54</v>
      </c>
      <c r="C287" s="1" t="s">
        <v>54</v>
      </c>
      <c r="D287" s="1">
        <v>0.99583999999999995</v>
      </c>
      <c r="E287" s="1">
        <v>0</v>
      </c>
      <c r="F287" s="1">
        <v>0</v>
      </c>
      <c r="G287" s="1">
        <v>0</v>
      </c>
      <c r="H287" s="2">
        <v>6.9999999999999994E-5</v>
      </c>
      <c r="I287" s="1">
        <v>4.0899999999999999E-3</v>
      </c>
      <c r="J287" s="1" t="s">
        <v>12</v>
      </c>
      <c r="K287" t="str">
        <f>VLOOKUP(A287,metadata!A:I,9,FALSE)</f>
        <v>WI</v>
      </c>
      <c r="L287" t="str">
        <f>VLOOKUP(A287,metadata!A:F,6,FALSE)</f>
        <v>OttawaWI</v>
      </c>
      <c r="M287">
        <f>VLOOKUP(A287,metadata!A:D,4,FALSE)</f>
        <v>43.017060000000001</v>
      </c>
      <c r="N287">
        <f>VLOOKUP(A287,metadata!A:E,5,FALSE)</f>
        <v>-88.435310000000001</v>
      </c>
    </row>
    <row r="288" spans="1:14" ht="13" hidden="1" x14ac:dyDescent="0.6">
      <c r="A288" s="1" t="s">
        <v>310</v>
      </c>
      <c r="B288" s="1" t="s">
        <v>11</v>
      </c>
      <c r="C288" s="1" t="s">
        <v>11</v>
      </c>
      <c r="D288" s="1">
        <v>0.99960000000000004</v>
      </c>
      <c r="E288" s="1">
        <v>0</v>
      </c>
      <c r="F288" s="1">
        <v>0</v>
      </c>
      <c r="G288" s="1">
        <v>0</v>
      </c>
      <c r="H288" s="1">
        <v>0</v>
      </c>
      <c r="I288" s="2">
        <v>4.0000000000000002E-4</v>
      </c>
      <c r="J288" s="1" t="s">
        <v>12</v>
      </c>
      <c r="K288" t="str">
        <f>VLOOKUP(A288,metadata!A:I,9,FALSE)</f>
        <v>WI</v>
      </c>
      <c r="L288" t="str">
        <f>VLOOKUP(A288,metadata!A:F,6,FALSE)</f>
        <v>OttawaWI</v>
      </c>
      <c r="M288">
        <f>VLOOKUP(A288,metadata!A:D,4,FALSE)</f>
        <v>43.016069999999999</v>
      </c>
      <c r="N288">
        <f>VLOOKUP(A288,metadata!A:E,5,FALSE)</f>
        <v>-88.435130000000001</v>
      </c>
    </row>
    <row r="289" spans="1:14" ht="13" hidden="1" x14ac:dyDescent="0.6">
      <c r="A289" s="1" t="s">
        <v>311</v>
      </c>
      <c r="B289" s="1" t="s">
        <v>11</v>
      </c>
      <c r="C289" s="1" t="s">
        <v>11</v>
      </c>
      <c r="D289" s="1">
        <v>0.99995999999999996</v>
      </c>
      <c r="E289" s="1">
        <v>0</v>
      </c>
      <c r="F289" s="1">
        <v>0</v>
      </c>
      <c r="G289" s="1">
        <v>0</v>
      </c>
      <c r="H289" s="1">
        <v>0</v>
      </c>
      <c r="I289" s="2">
        <v>4.0000000000000003E-5</v>
      </c>
      <c r="J289" s="1" t="s">
        <v>12</v>
      </c>
      <c r="K289" t="str">
        <f>VLOOKUP(A289,metadata!A:I,9,FALSE)</f>
        <v>WI</v>
      </c>
      <c r="L289" t="str">
        <f>VLOOKUP(A289,metadata!A:F,6,FALSE)</f>
        <v>MadisonWI</v>
      </c>
      <c r="M289">
        <f>VLOOKUP(A289,metadata!A:D,4,FALSE)</f>
        <v>43.039520000000003</v>
      </c>
      <c r="N289">
        <f>VLOOKUP(A289,metadata!A:E,5,FALSE)</f>
        <v>-89.431939999999997</v>
      </c>
    </row>
    <row r="290" spans="1:14" ht="13" hidden="1" x14ac:dyDescent="0.6">
      <c r="A290" s="1" t="s">
        <v>312</v>
      </c>
      <c r="B290" s="1" t="s">
        <v>54</v>
      </c>
      <c r="C290" s="1" t="s">
        <v>54</v>
      </c>
      <c r="D290" s="1">
        <v>0.99851999999999996</v>
      </c>
      <c r="E290" s="1">
        <v>0</v>
      </c>
      <c r="F290" s="1">
        <v>0</v>
      </c>
      <c r="G290" s="1">
        <v>0</v>
      </c>
      <c r="H290" s="2">
        <v>4.0000000000000003E-5</v>
      </c>
      <c r="I290" s="1">
        <v>1.4400000000000001E-3</v>
      </c>
      <c r="J290" s="1" t="s">
        <v>12</v>
      </c>
      <c r="K290" t="str">
        <f>VLOOKUP(A290,metadata!A:I,9,FALSE)</f>
        <v>WI</v>
      </c>
      <c r="L290" t="str">
        <f>VLOOKUP(A290,metadata!A:F,6,FALSE)</f>
        <v>MadisonWI</v>
      </c>
      <c r="M290">
        <f>VLOOKUP(A290,metadata!A:D,4,FALSE)</f>
        <v>43.039180000000002</v>
      </c>
      <c r="N290">
        <f>VLOOKUP(A290,metadata!A:E,5,FALSE)</f>
        <v>-89.439189999999996</v>
      </c>
    </row>
    <row r="291" spans="1:14" ht="13" hidden="1" x14ac:dyDescent="0.6">
      <c r="A291" s="1" t="s">
        <v>313</v>
      </c>
      <c r="B291" s="1" t="s">
        <v>11</v>
      </c>
      <c r="C291" s="1" t="s">
        <v>11</v>
      </c>
      <c r="D291" s="1">
        <v>0.99975000000000003</v>
      </c>
      <c r="E291" s="1">
        <v>0</v>
      </c>
      <c r="F291" s="1">
        <v>0</v>
      </c>
      <c r="G291" s="1">
        <v>0</v>
      </c>
      <c r="H291" s="1">
        <v>0</v>
      </c>
      <c r="I291" s="1">
        <v>2.5000000000000001E-4</v>
      </c>
      <c r="J291" s="1" t="s">
        <v>12</v>
      </c>
      <c r="K291" t="str">
        <f>VLOOKUP(A291,metadata!A:I,9,FALSE)</f>
        <v>WI</v>
      </c>
      <c r="L291" t="str">
        <f>VLOOKUP(A291,metadata!A:F,6,FALSE)</f>
        <v>MadisonWI</v>
      </c>
      <c r="M291">
        <f>VLOOKUP(A291,metadata!A:D,4,FALSE)</f>
        <v>43.039389999999997</v>
      </c>
      <c r="N291">
        <f>VLOOKUP(A291,metadata!A:E,5,FALSE)</f>
        <v>-89.439539999999994</v>
      </c>
    </row>
    <row r="292" spans="1:14" ht="13" hidden="1" x14ac:dyDescent="0.6">
      <c r="A292" s="1" t="s">
        <v>314</v>
      </c>
      <c r="B292" s="1" t="s">
        <v>54</v>
      </c>
      <c r="C292" s="1" t="s">
        <v>54</v>
      </c>
      <c r="D292" s="1">
        <v>0.99934000000000001</v>
      </c>
      <c r="E292" s="1">
        <v>0</v>
      </c>
      <c r="F292" s="1">
        <v>0</v>
      </c>
      <c r="G292" s="1">
        <v>0</v>
      </c>
      <c r="H292" s="2">
        <v>3.0000000000000001E-5</v>
      </c>
      <c r="I292" s="1">
        <v>6.3000000000000003E-4</v>
      </c>
      <c r="J292" s="1" t="s">
        <v>12</v>
      </c>
      <c r="K292" t="str">
        <f>VLOOKUP(A292,metadata!A:I,9,FALSE)</f>
        <v>WI</v>
      </c>
      <c r="L292" t="str">
        <f>VLOOKUP(A292,metadata!A:F,6,FALSE)</f>
        <v>MadisonWI</v>
      </c>
      <c r="M292">
        <f>VLOOKUP(A292,metadata!A:D,4,FALSE)</f>
        <v>43.039709999999999</v>
      </c>
      <c r="N292">
        <f>VLOOKUP(A292,metadata!A:E,5,FALSE)</f>
        <v>-89.442419999999998</v>
      </c>
    </row>
    <row r="293" spans="1:14" ht="13" hidden="1" x14ac:dyDescent="0.6">
      <c r="A293" s="1" t="s">
        <v>315</v>
      </c>
      <c r="B293" s="1" t="s">
        <v>11</v>
      </c>
      <c r="C293" s="1" t="s">
        <v>11</v>
      </c>
      <c r="D293" s="1">
        <v>0.99387999999999999</v>
      </c>
      <c r="E293" s="1">
        <v>0</v>
      </c>
      <c r="F293" s="1">
        <v>0</v>
      </c>
      <c r="G293" s="1">
        <v>0</v>
      </c>
      <c r="H293" s="1">
        <v>0</v>
      </c>
      <c r="I293" s="1">
        <v>6.1199999999999996E-3</v>
      </c>
      <c r="J293" s="1" t="s">
        <v>12</v>
      </c>
      <c r="K293" t="str">
        <f>VLOOKUP(A293,metadata!A:I,9,FALSE)</f>
        <v>WI</v>
      </c>
      <c r="L293" t="str">
        <f>VLOOKUP(A293,metadata!A:F,6,FALSE)</f>
        <v>MadisonWI</v>
      </c>
      <c r="M293">
        <f>VLOOKUP(A293,metadata!A:D,4,FALSE)</f>
        <v>43.039659999999998</v>
      </c>
      <c r="N293">
        <f>VLOOKUP(A293,metadata!A:E,5,FALSE)</f>
        <v>-89.44229</v>
      </c>
    </row>
    <row r="294" spans="1:14" ht="13" hidden="1" x14ac:dyDescent="0.6">
      <c r="A294" s="1" t="s">
        <v>316</v>
      </c>
      <c r="B294" s="1" t="s">
        <v>54</v>
      </c>
      <c r="C294" s="1" t="s">
        <v>54</v>
      </c>
      <c r="D294" s="1">
        <v>0.91913999999999996</v>
      </c>
      <c r="E294" s="1">
        <v>0</v>
      </c>
      <c r="F294" s="1">
        <v>0</v>
      </c>
      <c r="G294" s="1">
        <v>0</v>
      </c>
      <c r="H294" s="1">
        <v>4.6800000000000001E-3</v>
      </c>
      <c r="I294" s="1">
        <v>7.6179999999999998E-2</v>
      </c>
      <c r="J294" s="1" t="s">
        <v>12</v>
      </c>
      <c r="K294" t="str">
        <f>VLOOKUP(A294,metadata!A:I,9,FALSE)</f>
        <v>WI</v>
      </c>
      <c r="L294" t="str">
        <f>VLOOKUP(A294,metadata!A:F,6,FALSE)</f>
        <v>MadisonWI</v>
      </c>
      <c r="M294">
        <f>VLOOKUP(A294,metadata!A:D,4,FALSE)</f>
        <v>43.037129999999998</v>
      </c>
      <c r="N294">
        <f>VLOOKUP(A294,metadata!A:E,5,FALSE)</f>
        <v>-89.441029999999998</v>
      </c>
    </row>
    <row r="295" spans="1:14" ht="13" hidden="1" x14ac:dyDescent="0.6">
      <c r="A295" s="1" t="s">
        <v>317</v>
      </c>
      <c r="B295" s="1" t="s">
        <v>11</v>
      </c>
      <c r="C295" s="1" t="s">
        <v>11</v>
      </c>
      <c r="D295" s="1">
        <v>0.99948000000000004</v>
      </c>
      <c r="E295" s="1">
        <v>0</v>
      </c>
      <c r="F295" s="1">
        <v>0</v>
      </c>
      <c r="G295" s="1">
        <v>0</v>
      </c>
      <c r="H295" s="1">
        <v>0</v>
      </c>
      <c r="I295" s="1">
        <v>5.1999999999999995E-4</v>
      </c>
      <c r="J295" s="1" t="s">
        <v>12</v>
      </c>
      <c r="K295" t="str">
        <f>VLOOKUP(A295,metadata!A:I,9,FALSE)</f>
        <v>MN</v>
      </c>
      <c r="L295" t="str">
        <f>VLOOKUP(A295,metadata!A:F,6,FALSE)</f>
        <v>OttawaBluffsMN</v>
      </c>
      <c r="M295">
        <f>VLOOKUP(A295,metadata!A:D,4,FALSE)</f>
        <v>44.363880000000002</v>
      </c>
      <c r="N295">
        <f>VLOOKUP(A295,metadata!A:E,5,FALSE)</f>
        <v>-93.935429999999997</v>
      </c>
    </row>
    <row r="296" spans="1:14" ht="13" hidden="1" x14ac:dyDescent="0.6">
      <c r="A296" s="1" t="s">
        <v>318</v>
      </c>
      <c r="B296" s="1" t="s">
        <v>11</v>
      </c>
      <c r="C296" s="1" t="s">
        <v>11</v>
      </c>
      <c r="D296" s="1">
        <v>0.98163</v>
      </c>
      <c r="E296" s="1">
        <v>0</v>
      </c>
      <c r="F296" s="1">
        <v>0</v>
      </c>
      <c r="G296" s="1">
        <v>0</v>
      </c>
      <c r="H296" s="2">
        <v>1.0000000000000001E-5</v>
      </c>
      <c r="I296" s="1">
        <v>1.8350000000000002E-2</v>
      </c>
      <c r="J296" s="1" t="s">
        <v>12</v>
      </c>
      <c r="K296" t="str">
        <f>VLOOKUP(A296,metadata!A:I,9,FALSE)</f>
        <v>MN</v>
      </c>
      <c r="L296" t="str">
        <f>VLOOKUP(A296,metadata!A:F,6,FALSE)</f>
        <v>OttawaBluffsMN</v>
      </c>
      <c r="M296">
        <f>VLOOKUP(A296,metadata!A:D,4,FALSE)</f>
        <v>44.363880000000002</v>
      </c>
      <c r="N296">
        <f>VLOOKUP(A296,metadata!A:E,5,FALSE)</f>
        <v>-93.935429999999997</v>
      </c>
    </row>
    <row r="297" spans="1:14" ht="13" hidden="1" x14ac:dyDescent="0.6">
      <c r="A297" s="1" t="s">
        <v>319</v>
      </c>
      <c r="B297" s="1" t="s">
        <v>11</v>
      </c>
      <c r="C297" s="1" t="s">
        <v>11</v>
      </c>
      <c r="D297" s="1">
        <v>0.99922999999999995</v>
      </c>
      <c r="E297" s="1">
        <v>0</v>
      </c>
      <c r="F297" s="1">
        <v>0</v>
      </c>
      <c r="G297" s="1">
        <v>0</v>
      </c>
      <c r="H297" s="1">
        <v>0</v>
      </c>
      <c r="I297" s="1">
        <v>7.6999999999999996E-4</v>
      </c>
      <c r="J297" s="1" t="s">
        <v>12</v>
      </c>
      <c r="K297" t="str">
        <f>VLOOKUP(A297,metadata!A:I,9,FALSE)</f>
        <v>MN</v>
      </c>
      <c r="L297" t="str">
        <f>VLOOKUP(A297,metadata!A:F,6,FALSE)</f>
        <v>OttawaBluffsMN</v>
      </c>
      <c r="M297">
        <f>VLOOKUP(A297,metadata!A:D,4,FALSE)</f>
        <v>44.364130000000003</v>
      </c>
      <c r="N297">
        <f>VLOOKUP(A297,metadata!A:E,5,FALSE)</f>
        <v>-93.935509999999994</v>
      </c>
    </row>
    <row r="298" spans="1:14" ht="13" hidden="1" x14ac:dyDescent="0.6">
      <c r="A298" s="1" t="s">
        <v>320</v>
      </c>
      <c r="B298" s="1" t="s">
        <v>11</v>
      </c>
      <c r="C298" s="1" t="s">
        <v>11</v>
      </c>
      <c r="D298" s="1">
        <v>0.99877000000000005</v>
      </c>
      <c r="E298" s="1">
        <v>0</v>
      </c>
      <c r="F298" s="1">
        <v>0</v>
      </c>
      <c r="G298" s="1">
        <v>0</v>
      </c>
      <c r="H298" s="1">
        <v>0</v>
      </c>
      <c r="I298" s="1">
        <v>1.23E-3</v>
      </c>
      <c r="J298" s="1" t="s">
        <v>12</v>
      </c>
      <c r="K298" t="str">
        <f>VLOOKUP(A298,metadata!A:I,9,FALSE)</f>
        <v>MN</v>
      </c>
      <c r="L298" t="str">
        <f>VLOOKUP(A298,metadata!A:F,6,FALSE)</f>
        <v>QuarryParkMN</v>
      </c>
      <c r="M298">
        <f>VLOOKUP(A298,metadata!A:D,4,FALSE)</f>
        <v>45.53</v>
      </c>
      <c r="N298">
        <f>VLOOKUP(A298,metadata!A:E,5,FALSE)</f>
        <v>-94.232910000000004</v>
      </c>
    </row>
    <row r="299" spans="1:14" ht="13" hidden="1" x14ac:dyDescent="0.6">
      <c r="A299" s="1" t="s">
        <v>321</v>
      </c>
      <c r="B299" s="1" t="s">
        <v>11</v>
      </c>
      <c r="C299" s="1" t="s">
        <v>11</v>
      </c>
      <c r="D299" s="1">
        <v>0.99651000000000001</v>
      </c>
      <c r="E299" s="1">
        <v>0</v>
      </c>
      <c r="F299" s="1">
        <v>0</v>
      </c>
      <c r="G299" s="1">
        <v>0</v>
      </c>
      <c r="H299" s="1">
        <v>0</v>
      </c>
      <c r="I299" s="1">
        <v>3.49E-3</v>
      </c>
      <c r="J299" s="1" t="s">
        <v>12</v>
      </c>
      <c r="K299" t="str">
        <f>VLOOKUP(A299,metadata!A:I,9,FALSE)</f>
        <v>MN</v>
      </c>
      <c r="L299" t="str">
        <f>VLOOKUP(A299,metadata!A:F,6,FALSE)</f>
        <v>QuarryParkMN</v>
      </c>
      <c r="M299">
        <f>VLOOKUP(A299,metadata!A:D,4,FALSE)</f>
        <v>45.530880000000003</v>
      </c>
      <c r="N299">
        <f>VLOOKUP(A299,metadata!A:E,5,FALSE)</f>
        <v>-94.239890000000003</v>
      </c>
    </row>
    <row r="300" spans="1:14" ht="13" hidden="1" x14ac:dyDescent="0.6">
      <c r="A300" s="1" t="s">
        <v>322</v>
      </c>
      <c r="B300" s="1" t="s">
        <v>11</v>
      </c>
      <c r="C300" s="1" t="s">
        <v>11</v>
      </c>
      <c r="D300" s="1">
        <v>0.99809000000000003</v>
      </c>
      <c r="E300" s="1">
        <v>0</v>
      </c>
      <c r="F300" s="1">
        <v>0</v>
      </c>
      <c r="G300" s="1">
        <v>0</v>
      </c>
      <c r="H300" s="1">
        <v>0</v>
      </c>
      <c r="I300" s="1">
        <v>1.91E-3</v>
      </c>
      <c r="J300" s="1" t="s">
        <v>12</v>
      </c>
      <c r="K300" t="str">
        <f>VLOOKUP(A300,metadata!A:I,9,FALSE)</f>
        <v>MN</v>
      </c>
      <c r="L300" t="str">
        <f>VLOOKUP(A300,metadata!A:F,6,FALSE)</f>
        <v>TwinCitiesMN</v>
      </c>
      <c r="M300">
        <f>VLOOKUP(A300,metadata!A:D,4,FALSE)</f>
        <v>44.986020000000003</v>
      </c>
      <c r="N300">
        <f>VLOOKUP(A300,metadata!A:E,5,FALSE)</f>
        <v>-93.183409999999995</v>
      </c>
    </row>
    <row r="301" spans="1:14" ht="13" hidden="1" x14ac:dyDescent="0.6">
      <c r="A301" s="1" t="s">
        <v>323</v>
      </c>
      <c r="B301" s="1" t="s">
        <v>11</v>
      </c>
      <c r="C301" s="1" t="s">
        <v>11</v>
      </c>
      <c r="D301" s="1">
        <v>0.99997999999999998</v>
      </c>
      <c r="E301" s="1">
        <v>0</v>
      </c>
      <c r="F301" s="1">
        <v>0</v>
      </c>
      <c r="G301" s="1">
        <v>0</v>
      </c>
      <c r="H301" s="1">
        <v>0</v>
      </c>
      <c r="I301" s="2">
        <v>2.0000000000000002E-5</v>
      </c>
      <c r="J301" s="1" t="s">
        <v>12</v>
      </c>
      <c r="K301" t="str">
        <f>VLOOKUP(A301,metadata!A:I,9,FALSE)</f>
        <v>MN</v>
      </c>
      <c r="L301" t="str">
        <f>VLOOKUP(A301,metadata!A:F,6,FALSE)</f>
        <v>TwinCitiesMN</v>
      </c>
      <c r="M301">
        <f>VLOOKUP(A301,metadata!A:D,4,FALSE)</f>
        <v>44.990940000000002</v>
      </c>
      <c r="N301">
        <f>VLOOKUP(A301,metadata!A:E,5,FALSE)</f>
        <v>-93.194370000000006</v>
      </c>
    </row>
    <row r="302" spans="1:14" ht="13" hidden="1" x14ac:dyDescent="0.6">
      <c r="A302" s="1" t="s">
        <v>324</v>
      </c>
      <c r="B302" s="1" t="s">
        <v>11</v>
      </c>
      <c r="C302" s="1" t="s">
        <v>11</v>
      </c>
      <c r="D302" s="1">
        <v>0.99539</v>
      </c>
      <c r="E302" s="1">
        <v>0</v>
      </c>
      <c r="F302" s="1">
        <v>0</v>
      </c>
      <c r="G302" s="1">
        <v>0</v>
      </c>
      <c r="H302" s="1">
        <v>0</v>
      </c>
      <c r="I302" s="1">
        <v>4.6100000000000004E-3</v>
      </c>
      <c r="J302" s="1" t="s">
        <v>12</v>
      </c>
      <c r="K302" t="str">
        <f>VLOOKUP(A302,metadata!A:I,9,FALSE)</f>
        <v>MN</v>
      </c>
      <c r="L302" t="str">
        <f>VLOOKUP(A302,metadata!A:F,6,FALSE)</f>
        <v>TwinCitiesMN</v>
      </c>
      <c r="M302">
        <f>VLOOKUP(A302,metadata!A:D,4,FALSE)</f>
        <v>44.977710000000002</v>
      </c>
      <c r="N302">
        <f>VLOOKUP(A302,metadata!A:E,5,FALSE)</f>
        <v>-93.238010000000003</v>
      </c>
    </row>
    <row r="303" spans="1:14" ht="13" hidden="1" x14ac:dyDescent="0.6">
      <c r="A303" s="1" t="s">
        <v>325</v>
      </c>
      <c r="B303" s="1" t="s">
        <v>11</v>
      </c>
      <c r="C303" s="1" t="s">
        <v>11</v>
      </c>
      <c r="D303" s="1">
        <v>0.95823000000000003</v>
      </c>
      <c r="E303" s="1">
        <v>0</v>
      </c>
      <c r="F303" s="1">
        <v>0</v>
      </c>
      <c r="G303" s="1">
        <v>0</v>
      </c>
      <c r="H303" s="2">
        <v>3.0000000000000001E-5</v>
      </c>
      <c r="I303" s="1">
        <v>4.1739999999999999E-2</v>
      </c>
      <c r="J303" s="1" t="s">
        <v>12</v>
      </c>
      <c r="K303" t="str">
        <f>VLOOKUP(A303,metadata!A:I,9,FALSE)</f>
        <v>IN</v>
      </c>
      <c r="L303" t="str">
        <f>VLOOKUP(A303,metadata!A:F,6,FALSE)</f>
        <v>FortWayneIN</v>
      </c>
      <c r="M303">
        <f>VLOOKUP(A303,metadata!A:D,4,FALSE)</f>
        <v>41.088740000000001</v>
      </c>
      <c r="N303">
        <f>VLOOKUP(A303,metadata!A:E,5,FALSE)</f>
        <v>-85.120540000000005</v>
      </c>
    </row>
    <row r="304" spans="1:14" ht="13" hidden="1" x14ac:dyDescent="0.6">
      <c r="A304" s="1" t="s">
        <v>326</v>
      </c>
      <c r="B304" s="1" t="s">
        <v>11</v>
      </c>
      <c r="C304" s="1" t="s">
        <v>11</v>
      </c>
      <c r="D304" s="1">
        <v>0.99277000000000004</v>
      </c>
      <c r="E304" s="1">
        <v>0</v>
      </c>
      <c r="F304" s="1">
        <v>0</v>
      </c>
      <c r="G304" s="1">
        <v>0</v>
      </c>
      <c r="H304" s="2">
        <v>1.0000000000000001E-5</v>
      </c>
      <c r="I304" s="1">
        <v>7.2199999999999999E-3</v>
      </c>
      <c r="J304" s="1" t="s">
        <v>12</v>
      </c>
      <c r="K304" t="str">
        <f>VLOOKUP(A304,metadata!A:I,9,FALSE)</f>
        <v>IN</v>
      </c>
      <c r="L304" t="str">
        <f>VLOOKUP(A304,metadata!A:F,6,FALSE)</f>
        <v>FortWayneIN</v>
      </c>
      <c r="M304">
        <f>VLOOKUP(A304,metadata!A:D,4,FALSE)</f>
        <v>41.089370000000002</v>
      </c>
      <c r="N304">
        <f>VLOOKUP(A304,metadata!A:E,5,FALSE)</f>
        <v>-85.119209999999995</v>
      </c>
    </row>
    <row r="305" spans="1:14" ht="13" hidden="1" x14ac:dyDescent="0.6">
      <c r="A305" s="1" t="s">
        <v>327</v>
      </c>
      <c r="B305" s="1" t="s">
        <v>11</v>
      </c>
      <c r="C305" s="1" t="s">
        <v>11</v>
      </c>
      <c r="D305" s="1">
        <v>0.99151999999999996</v>
      </c>
      <c r="E305" s="1">
        <v>0</v>
      </c>
      <c r="F305" s="1">
        <v>0</v>
      </c>
      <c r="G305" s="1">
        <v>0</v>
      </c>
      <c r="H305" s="2">
        <v>1.0000000000000001E-5</v>
      </c>
      <c r="I305" s="1">
        <v>8.4700000000000001E-3</v>
      </c>
      <c r="J305" s="1" t="s">
        <v>12</v>
      </c>
      <c r="K305" t="str">
        <f>VLOOKUP(A305,metadata!A:I,9,FALSE)</f>
        <v>OH</v>
      </c>
      <c r="L305" t="str">
        <f>VLOOKUP(A305,metadata!A:F,6,FALSE)</f>
        <v>PearlKingOH</v>
      </c>
      <c r="M305">
        <f>VLOOKUP(A305,metadata!A:D,4,FALSE)</f>
        <v>40.043599999999998</v>
      </c>
      <c r="N305">
        <f>VLOOKUP(A305,metadata!A:E,5,FALSE)</f>
        <v>-83.479870000000005</v>
      </c>
    </row>
    <row r="306" spans="1:14" ht="13" hidden="1" x14ac:dyDescent="0.6">
      <c r="A306" s="1" t="s">
        <v>328</v>
      </c>
      <c r="B306" s="1" t="s">
        <v>11</v>
      </c>
      <c r="C306" s="1" t="s">
        <v>11</v>
      </c>
      <c r="D306" s="1">
        <v>0.99765999999999999</v>
      </c>
      <c r="E306" s="1">
        <v>0</v>
      </c>
      <c r="F306" s="1">
        <v>0</v>
      </c>
      <c r="G306" s="1">
        <v>0</v>
      </c>
      <c r="H306" s="1">
        <v>0</v>
      </c>
      <c r="I306" s="1">
        <v>2.3400000000000001E-3</v>
      </c>
      <c r="J306" s="1" t="s">
        <v>12</v>
      </c>
      <c r="K306" t="str">
        <f>VLOOKUP(A306,metadata!A:I,9,FALSE)</f>
        <v>OH</v>
      </c>
      <c r="L306" t="str">
        <f>VLOOKUP(A306,metadata!A:F,6,FALSE)</f>
        <v>PearlKingOH</v>
      </c>
      <c r="M306">
        <f>VLOOKUP(A306,metadata!A:D,4,FALSE)</f>
        <v>40.044359999999998</v>
      </c>
      <c r="N306">
        <f>VLOOKUP(A306,metadata!A:E,5,FALSE)</f>
        <v>-83.478909999999999</v>
      </c>
    </row>
    <row r="307" spans="1:14" ht="13" hidden="1" x14ac:dyDescent="0.6">
      <c r="A307" s="1" t="s">
        <v>329</v>
      </c>
      <c r="B307" s="1" t="s">
        <v>11</v>
      </c>
      <c r="C307" s="1" t="s">
        <v>11</v>
      </c>
      <c r="D307" s="1">
        <v>0.98894000000000004</v>
      </c>
      <c r="E307" s="1">
        <v>0</v>
      </c>
      <c r="F307" s="1">
        <v>0</v>
      </c>
      <c r="G307" s="1">
        <v>0</v>
      </c>
      <c r="H307" s="2">
        <v>1.0000000000000001E-5</v>
      </c>
      <c r="I307" s="1">
        <v>1.1050000000000001E-2</v>
      </c>
      <c r="J307" s="1" t="s">
        <v>12</v>
      </c>
      <c r="K307" t="str">
        <f>VLOOKUP(A307,metadata!A:I,9,FALSE)</f>
        <v>OH</v>
      </c>
      <c r="L307" t="str">
        <f>VLOOKUP(A307,metadata!A:F,6,FALSE)</f>
        <v>DaughmerOH</v>
      </c>
      <c r="M307">
        <f>VLOOKUP(A307,metadata!A:D,4,FALSE)</f>
        <v>40.73122</v>
      </c>
      <c r="N307">
        <f>VLOOKUP(A307,metadata!A:E,5,FALSE)</f>
        <v>-83.093279999999993</v>
      </c>
    </row>
    <row r="308" spans="1:14" ht="13" hidden="1" x14ac:dyDescent="0.6">
      <c r="A308" s="1" t="s">
        <v>330</v>
      </c>
      <c r="B308" s="1" t="s">
        <v>11</v>
      </c>
      <c r="C308" s="1" t="s">
        <v>11</v>
      </c>
      <c r="D308" s="1">
        <v>0.99975000000000003</v>
      </c>
      <c r="E308" s="1">
        <v>0</v>
      </c>
      <c r="F308" s="1">
        <v>0</v>
      </c>
      <c r="G308" s="1">
        <v>0</v>
      </c>
      <c r="H308" s="1">
        <v>0</v>
      </c>
      <c r="I308" s="1">
        <v>2.5000000000000001E-4</v>
      </c>
      <c r="J308" s="1" t="s">
        <v>12</v>
      </c>
      <c r="K308" t="str">
        <f>VLOOKUP(A308,metadata!A:I,9,FALSE)</f>
        <v>OH</v>
      </c>
      <c r="L308" t="str">
        <f>VLOOKUP(A308,metadata!A:F,6,FALSE)</f>
        <v>DaughmerOH</v>
      </c>
      <c r="M308">
        <f>VLOOKUP(A308,metadata!A:D,4,FALSE)</f>
        <v>40.730359999999997</v>
      </c>
      <c r="N308">
        <f>VLOOKUP(A308,metadata!A:E,5,FALSE)</f>
        <v>-83.094719999999995</v>
      </c>
    </row>
    <row r="309" spans="1:14" ht="13" hidden="1" x14ac:dyDescent="0.6">
      <c r="A309" s="1" t="s">
        <v>331</v>
      </c>
      <c r="B309" s="1" t="s">
        <v>11</v>
      </c>
      <c r="C309" s="1" t="s">
        <v>11</v>
      </c>
      <c r="D309" s="1">
        <v>0.99522999999999995</v>
      </c>
      <c r="E309" s="1">
        <v>0</v>
      </c>
      <c r="F309" s="1">
        <v>0</v>
      </c>
      <c r="G309" s="1">
        <v>0</v>
      </c>
      <c r="H309" s="1">
        <v>0</v>
      </c>
      <c r="I309" s="1">
        <v>4.7699999999999999E-3</v>
      </c>
      <c r="J309" s="1" t="s">
        <v>12</v>
      </c>
      <c r="K309" t="str">
        <f>VLOOKUP(A309,metadata!A:I,9,FALSE)</f>
        <v>OH</v>
      </c>
      <c r="L309" t="str">
        <f>VLOOKUP(A309,metadata!A:F,6,FALSE)</f>
        <v>DaughmerOH</v>
      </c>
      <c r="M309">
        <f>VLOOKUP(A309,metadata!A:D,4,FALSE)</f>
        <v>40.728189999999998</v>
      </c>
      <c r="N309">
        <f>VLOOKUP(A309,metadata!A:E,5,FALSE)</f>
        <v>-83.092939999999999</v>
      </c>
    </row>
    <row r="310" spans="1:14" ht="13" hidden="1" x14ac:dyDescent="0.6">
      <c r="A310" s="1" t="s">
        <v>332</v>
      </c>
      <c r="B310" s="1" t="s">
        <v>11</v>
      </c>
      <c r="C310" s="1" t="s">
        <v>57</v>
      </c>
      <c r="D310" s="1">
        <v>0.69264999999999999</v>
      </c>
      <c r="E310" s="1">
        <v>0</v>
      </c>
      <c r="F310" s="1">
        <v>0</v>
      </c>
      <c r="G310" s="1">
        <v>0</v>
      </c>
      <c r="H310" s="1">
        <v>5.5599999999999998E-3</v>
      </c>
      <c r="I310" s="1">
        <v>0.30177999999999999</v>
      </c>
      <c r="J310" s="1" t="s">
        <v>58</v>
      </c>
      <c r="K310" t="str">
        <f>VLOOKUP(A310,metadata!A:I,9,FALSE)</f>
        <v>OH</v>
      </c>
      <c r="L310" t="str">
        <f>VLOOKUP(A310,metadata!A:F,6,FALSE)</f>
        <v>GollWoodsOH</v>
      </c>
      <c r="M310">
        <f>VLOOKUP(A310,metadata!A:D,4,FALSE)</f>
        <v>41.550690000000003</v>
      </c>
      <c r="N310">
        <f>VLOOKUP(A310,metadata!A:E,5,FALSE)</f>
        <v>-84.359690000000001</v>
      </c>
    </row>
    <row r="311" spans="1:14" ht="13" hidden="1" x14ac:dyDescent="0.6">
      <c r="A311" s="1" t="s">
        <v>333</v>
      </c>
      <c r="B311" s="1" t="s">
        <v>96</v>
      </c>
      <c r="C311" s="1" t="s">
        <v>96</v>
      </c>
      <c r="D311" s="1">
        <v>0.98934</v>
      </c>
      <c r="E311" s="1">
        <v>0</v>
      </c>
      <c r="F311" s="1">
        <v>0</v>
      </c>
      <c r="G311" s="1">
        <v>0</v>
      </c>
      <c r="H311" s="1">
        <v>4.8999999999999998E-4</v>
      </c>
      <c r="I311" s="1">
        <v>1.017E-2</v>
      </c>
      <c r="J311" s="1" t="s">
        <v>12</v>
      </c>
      <c r="K311" t="str">
        <f>VLOOKUP(A311,metadata!A:I,9,FALSE)</f>
        <v>OH</v>
      </c>
      <c r="L311" t="str">
        <f>VLOOKUP(A311,metadata!A:F,6,FALSE)</f>
        <v>GollWoodsOH</v>
      </c>
      <c r="M311">
        <f>VLOOKUP(A311,metadata!A:D,4,FALSE)</f>
        <v>41.550960000000003</v>
      </c>
      <c r="N311">
        <f>VLOOKUP(A311,metadata!A:E,5,FALSE)</f>
        <v>-84.358459999999994</v>
      </c>
    </row>
    <row r="312" spans="1:14" ht="13" hidden="1" x14ac:dyDescent="0.6">
      <c r="A312" s="1" t="s">
        <v>334</v>
      </c>
      <c r="B312" s="1" t="s">
        <v>96</v>
      </c>
      <c r="C312" s="1" t="s">
        <v>96</v>
      </c>
      <c r="D312" s="1">
        <v>0.99007000000000001</v>
      </c>
      <c r="E312" s="1">
        <v>0</v>
      </c>
      <c r="F312" s="1">
        <v>0</v>
      </c>
      <c r="G312" s="1">
        <v>0</v>
      </c>
      <c r="H312" s="2">
        <v>2.0000000000000002E-5</v>
      </c>
      <c r="I312" s="1">
        <v>9.9100000000000004E-3</v>
      </c>
      <c r="J312" s="1" t="s">
        <v>12</v>
      </c>
      <c r="K312" t="str">
        <f>VLOOKUP(A312,metadata!A:I,9,FALSE)</f>
        <v>OH</v>
      </c>
      <c r="L312" t="str">
        <f>VLOOKUP(A312,metadata!A:F,6,FALSE)</f>
        <v>GollWoodsOH</v>
      </c>
      <c r="M312">
        <f>VLOOKUP(A312,metadata!A:D,4,FALSE)</f>
        <v>41.551110000000001</v>
      </c>
      <c r="N312">
        <f>VLOOKUP(A312,metadata!A:E,5,FALSE)</f>
        <v>-84.35754</v>
      </c>
    </row>
    <row r="313" spans="1:14" ht="13" hidden="1" x14ac:dyDescent="0.6">
      <c r="A313" s="1" t="s">
        <v>335</v>
      </c>
      <c r="B313" s="1" t="s">
        <v>54</v>
      </c>
      <c r="C313" s="1" t="s">
        <v>54</v>
      </c>
      <c r="D313" s="1">
        <v>0.99836999999999998</v>
      </c>
      <c r="E313" s="1">
        <v>0</v>
      </c>
      <c r="F313" s="1">
        <v>0</v>
      </c>
      <c r="G313" s="1">
        <v>0</v>
      </c>
      <c r="H313" s="2">
        <v>4.0000000000000003E-5</v>
      </c>
      <c r="I313" s="1">
        <v>1.5900000000000001E-3</v>
      </c>
      <c r="J313" s="1" t="s">
        <v>12</v>
      </c>
      <c r="K313" t="str">
        <f>VLOOKUP(A313,metadata!A:I,9,FALSE)</f>
        <v>OH</v>
      </c>
      <c r="L313" t="str">
        <f>VLOOKUP(A313,metadata!A:F,6,FALSE)</f>
        <v>GollWoodsOH</v>
      </c>
      <c r="M313">
        <f>VLOOKUP(A313,metadata!A:D,4,FALSE)</f>
        <v>41.551839999999999</v>
      </c>
      <c r="N313">
        <f>VLOOKUP(A313,metadata!A:E,5,FALSE)</f>
        <v>-84.355230000000006</v>
      </c>
    </row>
    <row r="314" spans="1:14" ht="13" hidden="1" x14ac:dyDescent="0.6">
      <c r="A314" s="1" t="s">
        <v>336</v>
      </c>
      <c r="B314" s="1" t="s">
        <v>96</v>
      </c>
      <c r="C314" s="1" t="s">
        <v>96</v>
      </c>
      <c r="D314" s="1">
        <v>0.93928999999999996</v>
      </c>
      <c r="E314" s="1">
        <v>0</v>
      </c>
      <c r="F314" s="1">
        <v>0</v>
      </c>
      <c r="G314" s="1">
        <v>0</v>
      </c>
      <c r="H314" s="1">
        <v>9.8999999999999999E-4</v>
      </c>
      <c r="I314" s="1">
        <v>5.9709999999999999E-2</v>
      </c>
      <c r="J314" s="1" t="s">
        <v>12</v>
      </c>
      <c r="K314" t="str">
        <f>VLOOKUP(A314,metadata!A:I,9,FALSE)</f>
        <v>OH</v>
      </c>
      <c r="L314" t="str">
        <f>VLOOKUP(A314,metadata!A:F,6,FALSE)</f>
        <v>GollWoodsOH</v>
      </c>
      <c r="M314">
        <f>VLOOKUP(A314,metadata!A:D,4,FALSE)</f>
        <v>41.551789999999997</v>
      </c>
      <c r="N314">
        <f>VLOOKUP(A314,metadata!A:E,5,FALSE)</f>
        <v>-84.354389999999995</v>
      </c>
    </row>
    <row r="315" spans="1:14" ht="13" hidden="1" x14ac:dyDescent="0.6">
      <c r="A315" s="1" t="s">
        <v>337</v>
      </c>
      <c r="B315" s="1" t="s">
        <v>11</v>
      </c>
      <c r="C315" s="1" t="s">
        <v>11</v>
      </c>
      <c r="D315" s="1">
        <v>0.99180999999999997</v>
      </c>
      <c r="E315" s="1">
        <v>0</v>
      </c>
      <c r="F315" s="1">
        <v>0</v>
      </c>
      <c r="G315" s="1">
        <v>0</v>
      </c>
      <c r="H315" s="1">
        <v>0</v>
      </c>
      <c r="I315" s="1">
        <v>8.1799999999999998E-3</v>
      </c>
      <c r="J315" s="1" t="s">
        <v>12</v>
      </c>
      <c r="K315" t="str">
        <f>VLOOKUP(A315,metadata!A:I,9,FALSE)</f>
        <v>OH</v>
      </c>
      <c r="L315" t="str">
        <f>VLOOKUP(A315,metadata!A:F,6,FALSE)</f>
        <v>GollWoodsOH</v>
      </c>
      <c r="M315">
        <f>VLOOKUP(A315,metadata!A:D,4,FALSE)</f>
        <v>41.55453</v>
      </c>
      <c r="N315">
        <f>VLOOKUP(A315,metadata!A:E,5,FALSE)</f>
        <v>-84.354939999999999</v>
      </c>
    </row>
    <row r="316" spans="1:14" ht="13" hidden="1" x14ac:dyDescent="0.6">
      <c r="A316" s="1" t="s">
        <v>338</v>
      </c>
      <c r="B316" s="1" t="s">
        <v>54</v>
      </c>
      <c r="C316" s="1" t="s">
        <v>54</v>
      </c>
      <c r="D316" s="1">
        <v>0.99704000000000004</v>
      </c>
      <c r="E316" s="1">
        <v>0</v>
      </c>
      <c r="F316" s="1">
        <v>0</v>
      </c>
      <c r="G316" s="1">
        <v>0</v>
      </c>
      <c r="H316" s="2">
        <v>1E-4</v>
      </c>
      <c r="I316" s="1">
        <v>2.8500000000000001E-3</v>
      </c>
      <c r="J316" s="1" t="s">
        <v>12</v>
      </c>
      <c r="K316" t="str">
        <f>VLOOKUP(A316,metadata!A:I,9,FALSE)</f>
        <v>OH</v>
      </c>
      <c r="L316" t="str">
        <f>VLOOKUP(A316,metadata!A:F,6,FALSE)</f>
        <v>GollWoodsOH</v>
      </c>
      <c r="M316">
        <f>VLOOKUP(A316,metadata!A:D,4,FALSE)</f>
        <v>41.552199999999999</v>
      </c>
      <c r="N316">
        <f>VLOOKUP(A316,metadata!A:E,5,FALSE)</f>
        <v>-84.358949999999993</v>
      </c>
    </row>
    <row r="317" spans="1:14" ht="13" hidden="1" x14ac:dyDescent="0.6">
      <c r="A317" s="1" t="s">
        <v>339</v>
      </c>
      <c r="B317" s="1" t="s">
        <v>54</v>
      </c>
      <c r="C317" s="1" t="s">
        <v>54</v>
      </c>
      <c r="D317" s="1">
        <v>0.99995999999999996</v>
      </c>
      <c r="E317" s="1">
        <v>0</v>
      </c>
      <c r="F317" s="1">
        <v>0</v>
      </c>
      <c r="G317" s="1">
        <v>0</v>
      </c>
      <c r="H317" s="1">
        <v>0</v>
      </c>
      <c r="I317" s="2">
        <v>4.0000000000000003E-5</v>
      </c>
      <c r="J317" s="1" t="s">
        <v>12</v>
      </c>
      <c r="K317" t="str">
        <f>VLOOKUP(A317,metadata!A:I,9,FALSE)</f>
        <v>OH</v>
      </c>
      <c r="L317" t="str">
        <f>VLOOKUP(A317,metadata!A:F,6,FALSE)</f>
        <v>GollWoodsOH</v>
      </c>
      <c r="M317">
        <f>VLOOKUP(A317,metadata!A:D,4,FALSE)</f>
        <v>41.553989999999999</v>
      </c>
      <c r="N317">
        <f>VLOOKUP(A317,metadata!A:E,5,FALSE)</f>
        <v>-84.360510000000005</v>
      </c>
    </row>
    <row r="318" spans="1:14" ht="13" hidden="1" x14ac:dyDescent="0.6">
      <c r="A318" s="1" t="s">
        <v>340</v>
      </c>
      <c r="B318" s="1" t="s">
        <v>54</v>
      </c>
      <c r="C318" s="1" t="s">
        <v>54</v>
      </c>
      <c r="D318" s="1">
        <v>0.99799000000000004</v>
      </c>
      <c r="E318" s="1">
        <v>0</v>
      </c>
      <c r="F318" s="1">
        <v>0</v>
      </c>
      <c r="G318" s="1">
        <v>0</v>
      </c>
      <c r="H318" s="2">
        <v>1.0000000000000001E-5</v>
      </c>
      <c r="I318" s="1">
        <v>1.99E-3</v>
      </c>
      <c r="J318" s="1" t="s">
        <v>12</v>
      </c>
      <c r="K318" t="str">
        <f>VLOOKUP(A318,metadata!A:I,9,FALSE)</f>
        <v>IL</v>
      </c>
      <c r="L318" t="str">
        <f>VLOOKUP(A318,metadata!A:F,6,FALSE)</f>
        <v>CranberrySloughIL</v>
      </c>
      <c r="M318">
        <f>VLOOKUP(A318,metadata!A:D,4,FALSE)</f>
        <v>41.715539999999997</v>
      </c>
      <c r="N318">
        <f>VLOOKUP(A318,metadata!A:E,5,FALSE)</f>
        <v>-87.866129999999998</v>
      </c>
    </row>
    <row r="319" spans="1:14" ht="13" hidden="1" x14ac:dyDescent="0.6">
      <c r="A319" s="1" t="s">
        <v>341</v>
      </c>
      <c r="B319" s="1" t="s">
        <v>11</v>
      </c>
      <c r="C319" s="1" t="s">
        <v>11</v>
      </c>
      <c r="D319" s="1">
        <v>0.99931999999999999</v>
      </c>
      <c r="E319" s="1">
        <v>0</v>
      </c>
      <c r="F319" s="1">
        <v>0</v>
      </c>
      <c r="G319" s="1">
        <v>0</v>
      </c>
      <c r="H319" s="1">
        <v>0</v>
      </c>
      <c r="I319" s="1">
        <v>6.8000000000000005E-4</v>
      </c>
      <c r="J319" s="1" t="s">
        <v>12</v>
      </c>
      <c r="K319" t="str">
        <f>VLOOKUP(A319,metadata!A:I,9,FALSE)</f>
        <v>IL</v>
      </c>
      <c r="L319" t="str">
        <f>VLOOKUP(A319,metadata!A:F,6,FALSE)</f>
        <v>CranberrySloughIL</v>
      </c>
      <c r="M319">
        <f>VLOOKUP(A319,metadata!A:D,4,FALSE)</f>
        <v>41.715530000000001</v>
      </c>
      <c r="N319">
        <f>VLOOKUP(A319,metadata!A:E,5,FALSE)</f>
        <v>-87.866140000000001</v>
      </c>
    </row>
    <row r="320" spans="1:14" ht="13" hidden="1" x14ac:dyDescent="0.6">
      <c r="A320" s="1" t="s">
        <v>342</v>
      </c>
      <c r="B320" s="1" t="s">
        <v>11</v>
      </c>
      <c r="C320" s="1" t="s">
        <v>11</v>
      </c>
      <c r="D320" s="1">
        <v>0.99609000000000003</v>
      </c>
      <c r="E320" s="1">
        <v>0</v>
      </c>
      <c r="F320" s="1">
        <v>0</v>
      </c>
      <c r="G320" s="1">
        <v>0</v>
      </c>
      <c r="H320" s="1">
        <v>0</v>
      </c>
      <c r="I320" s="1">
        <v>3.9100000000000003E-3</v>
      </c>
      <c r="J320" s="1" t="s">
        <v>12</v>
      </c>
      <c r="K320" t="str">
        <f>VLOOKUP(A320,metadata!A:I,9,FALSE)</f>
        <v>IL</v>
      </c>
      <c r="L320" t="str">
        <f>VLOOKUP(A320,metadata!A:F,6,FALSE)</f>
        <v>CranberrySloughIL</v>
      </c>
      <c r="M320">
        <f>VLOOKUP(A320,metadata!A:D,4,FALSE)</f>
        <v>41.711289999999998</v>
      </c>
      <c r="N320">
        <f>VLOOKUP(A320,metadata!A:E,5,FALSE)</f>
        <v>-87.865889999999993</v>
      </c>
    </row>
    <row r="321" spans="1:14" ht="13" hidden="1" x14ac:dyDescent="0.6">
      <c r="A321" s="1" t="s">
        <v>343</v>
      </c>
      <c r="B321" s="1" t="s">
        <v>54</v>
      </c>
      <c r="C321" s="1" t="s">
        <v>54</v>
      </c>
      <c r="D321" s="1">
        <v>0.99987000000000004</v>
      </c>
      <c r="E321" s="1">
        <v>0</v>
      </c>
      <c r="F321" s="1">
        <v>0</v>
      </c>
      <c r="G321" s="1">
        <v>0</v>
      </c>
      <c r="H321" s="1">
        <v>0</v>
      </c>
      <c r="I321" s="1">
        <v>1.2999999999999999E-4</v>
      </c>
      <c r="J321" s="1" t="s">
        <v>12</v>
      </c>
      <c r="K321" t="str">
        <f>VLOOKUP(A321,metadata!A:I,9,FALSE)</f>
        <v>IL</v>
      </c>
      <c r="L321" t="str">
        <f>VLOOKUP(A321,metadata!A:F,6,FALSE)</f>
        <v>CranberrySloughIL</v>
      </c>
      <c r="M321">
        <f>VLOOKUP(A321,metadata!A:D,4,FALSE)</f>
        <v>41.710760000000001</v>
      </c>
      <c r="N321">
        <f>VLOOKUP(A321,metadata!A:E,5,FALSE)</f>
        <v>-87.865849999999995</v>
      </c>
    </row>
    <row r="322" spans="1:14" ht="13" hidden="1" x14ac:dyDescent="0.6">
      <c r="A322" s="1" t="s">
        <v>344</v>
      </c>
      <c r="B322" s="1" t="s">
        <v>11</v>
      </c>
      <c r="C322" s="1" t="s">
        <v>11</v>
      </c>
      <c r="D322" s="1">
        <v>0.99909999999999999</v>
      </c>
      <c r="E322" s="1">
        <v>0</v>
      </c>
      <c r="F322" s="1">
        <v>0</v>
      </c>
      <c r="G322" s="1">
        <v>0</v>
      </c>
      <c r="H322" s="1">
        <v>0</v>
      </c>
      <c r="I322" s="2">
        <v>8.9999999999999998E-4</v>
      </c>
      <c r="J322" s="1" t="s">
        <v>12</v>
      </c>
      <c r="K322" t="str">
        <f>VLOOKUP(A322,metadata!A:I,9,FALSE)</f>
        <v>IL</v>
      </c>
      <c r="L322" t="str">
        <f>VLOOKUP(A322,metadata!A:F,6,FALSE)</f>
        <v>CranberrySloughIL</v>
      </c>
      <c r="M322">
        <f>VLOOKUP(A322,metadata!A:D,4,FALSE)</f>
        <v>41.704889999999999</v>
      </c>
      <c r="N322">
        <f>VLOOKUP(A322,metadata!A:E,5,FALSE)</f>
        <v>-87.865629999999996</v>
      </c>
    </row>
    <row r="323" spans="1:14" ht="13" hidden="1" x14ac:dyDescent="0.6">
      <c r="A323" s="1" t="s">
        <v>345</v>
      </c>
      <c r="B323" s="1" t="s">
        <v>54</v>
      </c>
      <c r="C323" s="1" t="s">
        <v>54</v>
      </c>
      <c r="D323" s="1">
        <v>0.99539</v>
      </c>
      <c r="E323" s="1">
        <v>0</v>
      </c>
      <c r="F323" s="1">
        <v>0</v>
      </c>
      <c r="G323" s="1">
        <v>0</v>
      </c>
      <c r="H323" s="1">
        <v>3.2000000000000003E-4</v>
      </c>
      <c r="I323" s="1">
        <v>4.28E-3</v>
      </c>
      <c r="J323" s="1" t="s">
        <v>12</v>
      </c>
      <c r="K323" t="str">
        <f>VLOOKUP(A323,metadata!A:I,9,FALSE)</f>
        <v>IL</v>
      </c>
      <c r="L323" t="str">
        <f>VLOOKUP(A323,metadata!A:F,6,FALSE)</f>
        <v>CranberrySloughIL</v>
      </c>
      <c r="M323">
        <f>VLOOKUP(A323,metadata!A:D,4,FALSE)</f>
        <v>41.70382</v>
      </c>
      <c r="N323">
        <f>VLOOKUP(A323,metadata!A:E,5,FALSE)</f>
        <v>-87.865660000000005</v>
      </c>
    </row>
    <row r="324" spans="1:14" ht="13" hidden="1" x14ac:dyDescent="0.6">
      <c r="A324" s="1" t="s">
        <v>346</v>
      </c>
      <c r="B324" s="1" t="s">
        <v>11</v>
      </c>
      <c r="C324" s="1" t="s">
        <v>11</v>
      </c>
      <c r="D324" s="1">
        <v>0.98629</v>
      </c>
      <c r="E324" s="1">
        <v>0</v>
      </c>
      <c r="F324" s="1">
        <v>0</v>
      </c>
      <c r="G324" s="1">
        <v>0</v>
      </c>
      <c r="H324" s="2">
        <v>1.0000000000000001E-5</v>
      </c>
      <c r="I324" s="1">
        <v>1.37E-2</v>
      </c>
      <c r="J324" s="1" t="s">
        <v>12</v>
      </c>
      <c r="K324" t="str">
        <f>VLOOKUP(A324,metadata!A:I,9,FALSE)</f>
        <v>IL</v>
      </c>
      <c r="L324" t="str">
        <f>VLOOKUP(A324,metadata!A:F,6,FALSE)</f>
        <v>GooseLakeIL</v>
      </c>
      <c r="M324">
        <f>VLOOKUP(A324,metadata!A:D,4,FALSE)</f>
        <v>41.35763</v>
      </c>
      <c r="N324">
        <f>VLOOKUP(A324,metadata!A:E,5,FALSE)</f>
        <v>-88.324799999999996</v>
      </c>
    </row>
    <row r="325" spans="1:14" ht="13" hidden="1" x14ac:dyDescent="0.6">
      <c r="A325" s="1" t="s">
        <v>347</v>
      </c>
      <c r="B325" s="1" t="s">
        <v>11</v>
      </c>
      <c r="C325" s="1" t="s">
        <v>11</v>
      </c>
      <c r="D325" s="1">
        <v>0.99334</v>
      </c>
      <c r="E325" s="1">
        <v>0</v>
      </c>
      <c r="F325" s="1">
        <v>0</v>
      </c>
      <c r="G325" s="1">
        <v>0</v>
      </c>
      <c r="H325" s="1">
        <v>0</v>
      </c>
      <c r="I325" s="1">
        <v>6.6600000000000001E-3</v>
      </c>
      <c r="J325" s="1" t="s">
        <v>12</v>
      </c>
      <c r="K325" t="str">
        <f>VLOOKUP(A325,metadata!A:I,9,FALSE)</f>
        <v>IL</v>
      </c>
      <c r="L325" t="str">
        <f>VLOOKUP(A325,metadata!A:F,6,FALSE)</f>
        <v>GooseLakeIL</v>
      </c>
      <c r="M325">
        <f>VLOOKUP(A325,metadata!A:D,4,FALSE)</f>
        <v>41.355429999999998</v>
      </c>
      <c r="N325">
        <f>VLOOKUP(A325,metadata!A:E,5,FALSE)</f>
        <v>-88.319119999999998</v>
      </c>
    </row>
    <row r="326" spans="1:14" ht="13" hidden="1" x14ac:dyDescent="0.6">
      <c r="A326" s="1" t="s">
        <v>348</v>
      </c>
      <c r="B326" s="1" t="s">
        <v>11</v>
      </c>
      <c r="C326" s="1" t="s">
        <v>11</v>
      </c>
      <c r="D326" s="1">
        <v>0.97811999999999999</v>
      </c>
      <c r="E326" s="1">
        <v>0</v>
      </c>
      <c r="F326" s="1">
        <v>0</v>
      </c>
      <c r="G326" s="1">
        <v>0</v>
      </c>
      <c r="H326" s="2">
        <v>2.0000000000000002E-5</v>
      </c>
      <c r="I326" s="1">
        <v>2.1870000000000001E-2</v>
      </c>
      <c r="J326" s="1" t="s">
        <v>12</v>
      </c>
      <c r="K326" t="str">
        <f>VLOOKUP(A326,metadata!A:I,9,FALSE)</f>
        <v>IL</v>
      </c>
      <c r="L326" t="str">
        <f>VLOOKUP(A326,metadata!A:F,6,FALSE)</f>
        <v>GooseLakeIL</v>
      </c>
      <c r="M326">
        <f>VLOOKUP(A326,metadata!A:D,4,FALSE)</f>
        <v>41.358229999999999</v>
      </c>
      <c r="N326">
        <f>VLOOKUP(A326,metadata!A:E,5,FALSE)</f>
        <v>-88.324799999999996</v>
      </c>
    </row>
    <row r="327" spans="1:14" ht="13" hidden="1" x14ac:dyDescent="0.6">
      <c r="A327" s="1" t="s">
        <v>349</v>
      </c>
      <c r="B327" s="1" t="s">
        <v>11</v>
      </c>
      <c r="C327" s="1" t="s">
        <v>11</v>
      </c>
      <c r="D327" s="1">
        <v>0.99946000000000002</v>
      </c>
      <c r="E327" s="1">
        <v>0</v>
      </c>
      <c r="F327" s="1">
        <v>0</v>
      </c>
      <c r="G327" s="1">
        <v>0</v>
      </c>
      <c r="H327" s="1">
        <v>0</v>
      </c>
      <c r="I327" s="1">
        <v>5.4000000000000001E-4</v>
      </c>
      <c r="J327" s="1" t="s">
        <v>12</v>
      </c>
      <c r="K327" t="str">
        <f>VLOOKUP(A327,metadata!A:I,9,FALSE)</f>
        <v>IL</v>
      </c>
      <c r="L327" t="str">
        <f>VLOOKUP(A327,metadata!A:F,6,FALSE)</f>
        <v>RyersonWoodsIL</v>
      </c>
      <c r="M327">
        <f>VLOOKUP(A327,metadata!A:D,4,FALSE)</f>
        <v>42.18309</v>
      </c>
      <c r="N327">
        <f>VLOOKUP(A327,metadata!A:E,5,FALSE)</f>
        <v>-87.913669999999996</v>
      </c>
    </row>
    <row r="328" spans="1:14" ht="13" hidden="1" x14ac:dyDescent="0.6">
      <c r="A328" s="1" t="s">
        <v>350</v>
      </c>
      <c r="B328" s="1" t="s">
        <v>54</v>
      </c>
      <c r="C328" s="1" t="s">
        <v>54</v>
      </c>
      <c r="D328" s="1">
        <v>0.99943000000000004</v>
      </c>
      <c r="E328" s="1">
        <v>0</v>
      </c>
      <c r="F328" s="1">
        <v>0</v>
      </c>
      <c r="G328" s="1">
        <v>0</v>
      </c>
      <c r="H328" s="2">
        <v>1.0000000000000001E-5</v>
      </c>
      <c r="I328" s="1">
        <v>5.5999999999999995E-4</v>
      </c>
      <c r="J328" s="1" t="s">
        <v>12</v>
      </c>
      <c r="K328" t="str">
        <f>VLOOKUP(A328,metadata!A:I,9,FALSE)</f>
        <v>IL</v>
      </c>
      <c r="L328" t="str">
        <f>VLOOKUP(A328,metadata!A:F,6,FALSE)</f>
        <v>RyersonWoodsIL</v>
      </c>
      <c r="M328">
        <f>VLOOKUP(A328,metadata!A:D,4,FALSE)</f>
        <v>42.183459999999997</v>
      </c>
      <c r="N328">
        <f>VLOOKUP(A328,metadata!A:E,5,FALSE)</f>
        <v>-87.913390000000007</v>
      </c>
    </row>
    <row r="329" spans="1:14" ht="13" hidden="1" x14ac:dyDescent="0.6">
      <c r="A329" s="1" t="s">
        <v>351</v>
      </c>
      <c r="B329" s="1" t="s">
        <v>54</v>
      </c>
      <c r="C329" s="1" t="s">
        <v>54</v>
      </c>
      <c r="D329" s="1">
        <v>0.99956</v>
      </c>
      <c r="E329" s="1">
        <v>0</v>
      </c>
      <c r="F329" s="1">
        <v>0</v>
      </c>
      <c r="G329" s="1">
        <v>0</v>
      </c>
      <c r="H329" s="2">
        <v>1.0000000000000001E-5</v>
      </c>
      <c r="I329" s="1">
        <v>4.2999999999999999E-4</v>
      </c>
      <c r="J329" s="1" t="s">
        <v>12</v>
      </c>
      <c r="K329" t="str">
        <f>VLOOKUP(A329,metadata!A:I,9,FALSE)</f>
        <v>IL</v>
      </c>
      <c r="L329" t="str">
        <f>VLOOKUP(A329,metadata!A:F,6,FALSE)</f>
        <v>RyersonWoodsIL</v>
      </c>
      <c r="M329">
        <f>VLOOKUP(A329,metadata!A:D,4,FALSE)</f>
        <v>42.18327</v>
      </c>
      <c r="N329">
        <f>VLOOKUP(A329,metadata!A:E,5,FALSE)</f>
        <v>-87.914259999999999</v>
      </c>
    </row>
    <row r="330" spans="1:14" ht="13" hidden="1" x14ac:dyDescent="0.6">
      <c r="A330" s="1" t="s">
        <v>352</v>
      </c>
      <c r="B330" s="1" t="s">
        <v>29</v>
      </c>
      <c r="C330" s="1" t="s">
        <v>29</v>
      </c>
      <c r="D330" s="1">
        <v>0.99968000000000001</v>
      </c>
      <c r="E330" s="1">
        <v>0</v>
      </c>
      <c r="F330" s="1">
        <v>0</v>
      </c>
      <c r="G330" s="1">
        <v>0</v>
      </c>
      <c r="H330" s="1">
        <v>0</v>
      </c>
      <c r="I330" s="1">
        <v>3.1E-4</v>
      </c>
      <c r="J330" s="1" t="s">
        <v>12</v>
      </c>
      <c r="K330" t="str">
        <f>VLOOKUP(A330,metadata!A:I,9,FALSE)</f>
        <v>IL</v>
      </c>
      <c r="L330" t="str">
        <f>VLOOKUP(A330,metadata!A:F,6,FALSE)</f>
        <v>RyersonWoodsIL</v>
      </c>
      <c r="M330">
        <f>VLOOKUP(A330,metadata!A:D,4,FALSE)</f>
        <v>42.184310000000004</v>
      </c>
      <c r="N330">
        <f>VLOOKUP(A330,metadata!A:E,5,FALSE)</f>
        <v>-87.91628</v>
      </c>
    </row>
    <row r="331" spans="1:14" ht="13" hidden="1" x14ac:dyDescent="0.6">
      <c r="A331" s="1" t="s">
        <v>353</v>
      </c>
      <c r="B331" s="1" t="s">
        <v>29</v>
      </c>
      <c r="C331" s="1" t="s">
        <v>29</v>
      </c>
      <c r="D331" s="1">
        <v>0.99988999999999995</v>
      </c>
      <c r="E331" s="1">
        <v>0</v>
      </c>
      <c r="F331" s="1">
        <v>0</v>
      </c>
      <c r="G331" s="1">
        <v>0</v>
      </c>
      <c r="H331" s="1">
        <v>0</v>
      </c>
      <c r="I331" s="1">
        <v>1.1E-4</v>
      </c>
      <c r="J331" s="1" t="s">
        <v>12</v>
      </c>
      <c r="K331" t="str">
        <f>VLOOKUP(A331,metadata!A:I,9,FALSE)</f>
        <v>IL</v>
      </c>
      <c r="L331" t="str">
        <f>VLOOKUP(A331,metadata!A:F,6,FALSE)</f>
        <v>RyersonWoodsIL</v>
      </c>
      <c r="M331">
        <f>VLOOKUP(A331,metadata!A:D,4,FALSE)</f>
        <v>42.184609999999999</v>
      </c>
      <c r="N331">
        <f>VLOOKUP(A331,metadata!A:E,5,FALSE)</f>
        <v>-87.916049999999998</v>
      </c>
    </row>
    <row r="332" spans="1:14" ht="13" hidden="1" x14ac:dyDescent="0.6">
      <c r="A332" s="1" t="s">
        <v>354</v>
      </c>
      <c r="B332" s="1" t="s">
        <v>29</v>
      </c>
      <c r="C332" s="1" t="s">
        <v>29</v>
      </c>
      <c r="D332" s="1">
        <v>0.99958999999999998</v>
      </c>
      <c r="E332" s="1">
        <v>0</v>
      </c>
      <c r="F332" s="1">
        <v>0</v>
      </c>
      <c r="G332" s="1">
        <v>0</v>
      </c>
      <c r="H332" s="1">
        <v>0</v>
      </c>
      <c r="I332" s="1">
        <v>4.0999999999999999E-4</v>
      </c>
      <c r="J332" s="1" t="s">
        <v>12</v>
      </c>
      <c r="K332" t="str">
        <f>VLOOKUP(A332,metadata!A:I,9,FALSE)</f>
        <v>IL</v>
      </c>
      <c r="L332" t="str">
        <f>VLOOKUP(A332,metadata!A:F,6,FALSE)</f>
        <v>RyersonWoodsIL</v>
      </c>
      <c r="M332">
        <f>VLOOKUP(A332,metadata!A:D,4,FALSE)</f>
        <v>42.183610000000002</v>
      </c>
      <c r="N332">
        <f>VLOOKUP(A332,metadata!A:E,5,FALSE)</f>
        <v>-87.915189999999996</v>
      </c>
    </row>
    <row r="333" spans="1:14" ht="13" hidden="1" x14ac:dyDescent="0.6">
      <c r="A333" s="1" t="s">
        <v>355</v>
      </c>
      <c r="B333" s="1" t="s">
        <v>11</v>
      </c>
      <c r="C333" s="1" t="s">
        <v>11</v>
      </c>
      <c r="D333" s="1">
        <v>0.99897999999999998</v>
      </c>
      <c r="E333" s="1">
        <v>0</v>
      </c>
      <c r="F333" s="1">
        <v>0</v>
      </c>
      <c r="G333" s="1">
        <v>0</v>
      </c>
      <c r="H333" s="1">
        <v>0</v>
      </c>
      <c r="I333" s="1">
        <v>1.0200000000000001E-3</v>
      </c>
      <c r="J333" s="1" t="s">
        <v>12</v>
      </c>
      <c r="K333" t="str">
        <f>VLOOKUP(A333,metadata!A:I,9,FALSE)</f>
        <v>IL</v>
      </c>
      <c r="L333" t="str">
        <f>VLOOKUP(A333,metadata!A:F,6,FALSE)</f>
        <v>RyersonWoodsIL</v>
      </c>
      <c r="M333">
        <f>VLOOKUP(A333,metadata!A:D,4,FALSE)</f>
        <v>42.183689999999999</v>
      </c>
      <c r="N333">
        <f>VLOOKUP(A333,metadata!A:E,5,FALSE)</f>
        <v>-87.914270000000002</v>
      </c>
    </row>
    <row r="334" spans="1:14" ht="13" hidden="1" x14ac:dyDescent="0.6">
      <c r="A334" s="1" t="s">
        <v>356</v>
      </c>
      <c r="B334" s="1" t="s">
        <v>54</v>
      </c>
      <c r="C334" s="1" t="s">
        <v>54</v>
      </c>
      <c r="D334" s="1">
        <v>0.99990999999999997</v>
      </c>
      <c r="E334" s="1">
        <v>0</v>
      </c>
      <c r="F334" s="1">
        <v>0</v>
      </c>
      <c r="G334" s="1">
        <v>0</v>
      </c>
      <c r="H334" s="1">
        <v>0</v>
      </c>
      <c r="I334" s="2">
        <v>8.0000000000000007E-5</v>
      </c>
      <c r="J334" s="1" t="s">
        <v>12</v>
      </c>
      <c r="K334" t="str">
        <f>VLOOKUP(A334,metadata!A:I,9,FALSE)</f>
        <v>IL</v>
      </c>
      <c r="L334" t="str">
        <f>VLOOKUP(A334,metadata!A:F,6,FALSE)</f>
        <v>RyersonWoodsIL</v>
      </c>
      <c r="M334">
        <f>VLOOKUP(A334,metadata!A:D,4,FALSE)</f>
        <v>42.18271</v>
      </c>
      <c r="N334">
        <f>VLOOKUP(A334,metadata!A:E,5,FALSE)</f>
        <v>-87.914789999999996</v>
      </c>
    </row>
    <row r="335" spans="1:14" ht="13" hidden="1" x14ac:dyDescent="0.6">
      <c r="A335" s="1" t="s">
        <v>357</v>
      </c>
      <c r="B335" s="1" t="s">
        <v>54</v>
      </c>
      <c r="C335" s="1" t="s">
        <v>54</v>
      </c>
      <c r="D335" s="1">
        <v>0.99963000000000002</v>
      </c>
      <c r="E335" s="1">
        <v>0</v>
      </c>
      <c r="F335" s="1">
        <v>0</v>
      </c>
      <c r="G335" s="1">
        <v>0</v>
      </c>
      <c r="H335" s="1">
        <v>0</v>
      </c>
      <c r="I335" s="1">
        <v>3.6999999999999999E-4</v>
      </c>
      <c r="J335" s="1" t="s">
        <v>12</v>
      </c>
      <c r="K335" t="str">
        <f>VLOOKUP(A335,metadata!A:I,9,FALSE)</f>
        <v>IL</v>
      </c>
      <c r="L335" t="str">
        <f>VLOOKUP(A335,metadata!A:F,6,FALSE)</f>
        <v>FullersburgWoodsIL</v>
      </c>
      <c r="M335">
        <f>VLOOKUP(A335,metadata!A:D,4,FALSE)</f>
        <v>41.825189999999999</v>
      </c>
      <c r="N335">
        <f>VLOOKUP(A335,metadata!A:E,5,FALSE)</f>
        <v>-87.930850000000007</v>
      </c>
    </row>
    <row r="336" spans="1:14" ht="13" hidden="1" x14ac:dyDescent="0.6">
      <c r="A336" s="1" t="s">
        <v>358</v>
      </c>
      <c r="B336" s="1" t="s">
        <v>11</v>
      </c>
      <c r="C336" s="1" t="s">
        <v>11</v>
      </c>
      <c r="D336" s="1">
        <v>0.99258000000000002</v>
      </c>
      <c r="E336" s="1">
        <v>0</v>
      </c>
      <c r="F336" s="1">
        <v>0</v>
      </c>
      <c r="G336" s="1">
        <v>0</v>
      </c>
      <c r="H336" s="1">
        <v>0</v>
      </c>
      <c r="I336" s="1">
        <v>7.4200000000000004E-3</v>
      </c>
      <c r="J336" s="1" t="s">
        <v>12</v>
      </c>
      <c r="K336" t="str">
        <f>VLOOKUP(A336,metadata!A:I,9,FALSE)</f>
        <v>IL</v>
      </c>
      <c r="L336" t="str">
        <f>VLOOKUP(A336,metadata!A:F,6,FALSE)</f>
        <v>FullersburgWoodsIL</v>
      </c>
      <c r="M336">
        <f>VLOOKUP(A336,metadata!A:D,4,FALSE)</f>
        <v>41.824840000000002</v>
      </c>
      <c r="N336">
        <f>VLOOKUP(A336,metadata!A:E,5,FALSE)</f>
        <v>-87.932429999999997</v>
      </c>
    </row>
    <row r="337" spans="1:14" ht="13" hidden="1" x14ac:dyDescent="0.6">
      <c r="A337" s="1" t="s">
        <v>359</v>
      </c>
      <c r="B337" s="1" t="s">
        <v>54</v>
      </c>
      <c r="C337" s="1" t="s">
        <v>54</v>
      </c>
      <c r="D337" s="1">
        <v>0.99946000000000002</v>
      </c>
      <c r="E337" s="1">
        <v>0</v>
      </c>
      <c r="F337" s="1">
        <v>0</v>
      </c>
      <c r="G337" s="1">
        <v>0</v>
      </c>
      <c r="H337" s="1">
        <v>0</v>
      </c>
      <c r="I337" s="1">
        <v>5.2999999999999998E-4</v>
      </c>
      <c r="J337" s="1" t="s">
        <v>12</v>
      </c>
      <c r="K337" t="str">
        <f>VLOOKUP(A337,metadata!A:I,9,FALSE)</f>
        <v>IL</v>
      </c>
      <c r="L337" t="str">
        <f>VLOOKUP(A337,metadata!A:F,6,FALSE)</f>
        <v>FullersburgWoodsIL</v>
      </c>
      <c r="M337">
        <f>VLOOKUP(A337,metadata!A:D,4,FALSE)</f>
        <v>41.825339999999997</v>
      </c>
      <c r="N337">
        <f>VLOOKUP(A337,metadata!A:E,5,FALSE)</f>
        <v>-87.932159999999996</v>
      </c>
    </row>
    <row r="338" spans="1:14" ht="13" hidden="1" x14ac:dyDescent="0.6">
      <c r="A338" s="1" t="s">
        <v>360</v>
      </c>
      <c r="B338" s="1" t="s">
        <v>54</v>
      </c>
      <c r="C338" s="1" t="s">
        <v>54</v>
      </c>
      <c r="D338" s="1">
        <v>0.99980999999999998</v>
      </c>
      <c r="E338" s="1">
        <v>0</v>
      </c>
      <c r="F338" s="1">
        <v>0</v>
      </c>
      <c r="G338" s="1">
        <v>0</v>
      </c>
      <c r="H338" s="1">
        <v>0</v>
      </c>
      <c r="I338" s="1">
        <v>1.9000000000000001E-4</v>
      </c>
      <c r="J338" s="1" t="s">
        <v>12</v>
      </c>
      <c r="K338" t="str">
        <f>VLOOKUP(A338,metadata!A:I,9,FALSE)</f>
        <v>IL</v>
      </c>
      <c r="L338" t="str">
        <f>VLOOKUP(A338,metadata!A:F,6,FALSE)</f>
        <v>FullersburgWoodsIL</v>
      </c>
      <c r="M338">
        <f>VLOOKUP(A338,metadata!A:D,4,FALSE)</f>
        <v>41.825839999999999</v>
      </c>
      <c r="N338">
        <f>VLOOKUP(A338,metadata!A:E,5,FALSE)</f>
        <v>-87.933390000000003</v>
      </c>
    </row>
    <row r="339" spans="1:14" ht="13" hidden="1" x14ac:dyDescent="0.6">
      <c r="A339" s="1" t="s">
        <v>361</v>
      </c>
      <c r="B339" s="1" t="s">
        <v>29</v>
      </c>
      <c r="C339" s="1" t="s">
        <v>29</v>
      </c>
      <c r="D339" s="1">
        <v>0.92464000000000002</v>
      </c>
      <c r="E339" s="1">
        <v>0</v>
      </c>
      <c r="F339" s="1">
        <v>0</v>
      </c>
      <c r="G339" s="1">
        <v>0</v>
      </c>
      <c r="H339" s="1">
        <v>1.99E-3</v>
      </c>
      <c r="I339" s="1">
        <v>7.3359999999999995E-2</v>
      </c>
      <c r="J339" s="1" t="s">
        <v>12</v>
      </c>
      <c r="K339" t="str">
        <f>VLOOKUP(A339,metadata!A:I,9,FALSE)</f>
        <v>IL</v>
      </c>
      <c r="L339" t="str">
        <f>VLOOKUP(A339,metadata!A:F,6,FALSE)</f>
        <v>FullersburgWoodsIL</v>
      </c>
      <c r="M339">
        <f>VLOOKUP(A339,metadata!A:D,4,FALSE)</f>
        <v>41.824719999999999</v>
      </c>
      <c r="N339">
        <f>VLOOKUP(A339,metadata!A:E,5,FALSE)</f>
        <v>-87.964079999999996</v>
      </c>
    </row>
    <row r="340" spans="1:14" ht="13" hidden="1" x14ac:dyDescent="0.6">
      <c r="A340" s="1" t="s">
        <v>362</v>
      </c>
      <c r="B340" s="1" t="s">
        <v>11</v>
      </c>
      <c r="C340" s="1" t="s">
        <v>11</v>
      </c>
      <c r="D340" s="1">
        <v>0.99980999999999998</v>
      </c>
      <c r="E340" s="1">
        <v>0</v>
      </c>
      <c r="F340" s="1">
        <v>0</v>
      </c>
      <c r="G340" s="1">
        <v>0</v>
      </c>
      <c r="H340" s="1">
        <v>0</v>
      </c>
      <c r="I340" s="1">
        <v>1.9000000000000001E-4</v>
      </c>
      <c r="J340" s="1" t="s">
        <v>12</v>
      </c>
      <c r="K340" t="str">
        <f>VLOOKUP(A340,metadata!A:I,9,FALSE)</f>
        <v>IL</v>
      </c>
      <c r="L340" t="str">
        <f>VLOOKUP(A340,metadata!A:F,6,FALSE)</f>
        <v>FullersburgWoodsIL</v>
      </c>
      <c r="M340">
        <f>VLOOKUP(A340,metadata!A:D,4,FALSE)</f>
        <v>41.825449999999996</v>
      </c>
      <c r="N340">
        <f>VLOOKUP(A340,metadata!A:E,5,FALSE)</f>
        <v>-87.932659999999998</v>
      </c>
    </row>
    <row r="341" spans="1:14" ht="13" hidden="1" x14ac:dyDescent="0.6">
      <c r="A341" s="1" t="s">
        <v>363</v>
      </c>
      <c r="B341" s="1" t="s">
        <v>11</v>
      </c>
      <c r="C341" s="1" t="s">
        <v>11</v>
      </c>
      <c r="D341" s="1">
        <v>0.99885999999999997</v>
      </c>
      <c r="E341" s="1">
        <v>0</v>
      </c>
      <c r="F341" s="1">
        <v>0</v>
      </c>
      <c r="G341" s="1">
        <v>0</v>
      </c>
      <c r="H341" s="1">
        <v>0</v>
      </c>
      <c r="I341" s="1">
        <v>1.14E-3</v>
      </c>
      <c r="J341" s="1" t="s">
        <v>12</v>
      </c>
      <c r="K341" t="str">
        <f>VLOOKUP(A341,metadata!A:I,9,FALSE)</f>
        <v>IL</v>
      </c>
      <c r="L341" t="str">
        <f>VLOOKUP(A341,metadata!A:F,6,FALSE)</f>
        <v>FullersburgWoodsIL</v>
      </c>
      <c r="M341">
        <f>VLOOKUP(A341,metadata!A:D,4,FALSE)</f>
        <v>41.825560000000003</v>
      </c>
      <c r="N341">
        <f>VLOOKUP(A341,metadata!A:E,5,FALSE)</f>
        <v>-87.932789999999997</v>
      </c>
    </row>
    <row r="342" spans="1:14" ht="13" hidden="1" x14ac:dyDescent="0.6">
      <c r="A342" s="1" t="s">
        <v>364</v>
      </c>
      <c r="B342" s="1" t="s">
        <v>11</v>
      </c>
      <c r="C342" s="1" t="s">
        <v>11</v>
      </c>
      <c r="D342" s="1">
        <v>0.99714999999999998</v>
      </c>
      <c r="E342" s="1">
        <v>0</v>
      </c>
      <c r="F342" s="1">
        <v>0</v>
      </c>
      <c r="G342" s="1">
        <v>0</v>
      </c>
      <c r="H342" s="1">
        <v>0</v>
      </c>
      <c r="I342" s="1">
        <v>2.8500000000000001E-3</v>
      </c>
      <c r="J342" s="1" t="s">
        <v>12</v>
      </c>
      <c r="K342" t="str">
        <f>VLOOKUP(A342,metadata!A:I,9,FALSE)</f>
        <v>IL</v>
      </c>
      <c r="L342" t="str">
        <f>VLOOKUP(A342,metadata!A:F,6,FALSE)</f>
        <v>MiddleforkIL</v>
      </c>
      <c r="M342">
        <f>VLOOKUP(A342,metadata!A:D,4,FALSE)</f>
        <v>42.257804</v>
      </c>
      <c r="N342">
        <f>VLOOKUP(A342,metadata!A:E,5,FALSE)</f>
        <v>-87.881608999999997</v>
      </c>
    </row>
    <row r="343" spans="1:14" ht="13" hidden="1" x14ac:dyDescent="0.6">
      <c r="A343" s="1" t="s">
        <v>365</v>
      </c>
      <c r="B343" s="1" t="s">
        <v>11</v>
      </c>
      <c r="C343" s="1" t="s">
        <v>11</v>
      </c>
      <c r="D343" s="1">
        <v>0.99948000000000004</v>
      </c>
      <c r="E343" s="1">
        <v>0</v>
      </c>
      <c r="F343" s="1">
        <v>0</v>
      </c>
      <c r="G343" s="1">
        <v>0</v>
      </c>
      <c r="H343" s="1">
        <v>0</v>
      </c>
      <c r="I343" s="1">
        <v>5.1999999999999995E-4</v>
      </c>
      <c r="J343" s="1" t="s">
        <v>12</v>
      </c>
      <c r="K343" t="str">
        <f>VLOOKUP(A343,metadata!A:I,9,FALSE)</f>
        <v>IL</v>
      </c>
      <c r="L343" t="str">
        <f>VLOOKUP(A343,metadata!A:F,6,FALSE)</f>
        <v>MiddleforkIL</v>
      </c>
      <c r="M343">
        <f>VLOOKUP(A343,metadata!A:D,4,FALSE)</f>
        <v>42.257804</v>
      </c>
      <c r="N343">
        <f>VLOOKUP(A343,metadata!A:E,5,FALSE)</f>
        <v>-87.881608999999997</v>
      </c>
    </row>
    <row r="344" spans="1:14" ht="13" hidden="1" x14ac:dyDescent="0.6">
      <c r="A344" s="1" t="s">
        <v>366</v>
      </c>
      <c r="B344" s="1" t="s">
        <v>11</v>
      </c>
      <c r="C344" s="1" t="s">
        <v>11</v>
      </c>
      <c r="D344" s="1">
        <v>0.99882000000000004</v>
      </c>
      <c r="E344" s="1">
        <v>0</v>
      </c>
      <c r="F344" s="1">
        <v>0</v>
      </c>
      <c r="G344" s="1">
        <v>0</v>
      </c>
      <c r="H344" s="1">
        <v>0</v>
      </c>
      <c r="I344" s="1">
        <v>1.1800000000000001E-3</v>
      </c>
      <c r="J344" s="1" t="s">
        <v>12</v>
      </c>
      <c r="K344" t="str">
        <f>VLOOKUP(A344,metadata!A:I,9,FALSE)</f>
        <v>SD</v>
      </c>
      <c r="L344" t="str">
        <f>VLOOKUP(A344,metadata!A:F,6,FALSE)</f>
        <v>CusterSD</v>
      </c>
      <c r="M344">
        <f>VLOOKUP(A344,metadata!A:D,4,FALSE)</f>
        <v>43.760489999999997</v>
      </c>
      <c r="N344">
        <f>VLOOKUP(A344,metadata!A:E,5,FALSE)</f>
        <v>-103.47675</v>
      </c>
    </row>
    <row r="345" spans="1:14" ht="13" hidden="1" x14ac:dyDescent="0.6">
      <c r="A345" s="1" t="s">
        <v>367</v>
      </c>
      <c r="B345" s="1" t="s">
        <v>11</v>
      </c>
      <c r="C345" s="1" t="s">
        <v>11</v>
      </c>
      <c r="D345" s="1">
        <v>0.96126999999999996</v>
      </c>
      <c r="E345" s="1">
        <v>0</v>
      </c>
      <c r="F345" s="1">
        <v>0</v>
      </c>
      <c r="G345" s="1">
        <v>0</v>
      </c>
      <c r="H345" s="2">
        <v>4.0000000000000003E-5</v>
      </c>
      <c r="I345" s="1">
        <v>3.8699999999999998E-2</v>
      </c>
      <c r="J345" s="1" t="s">
        <v>12</v>
      </c>
      <c r="K345" t="str">
        <f>VLOOKUP(A345,metadata!A:I,9,FALSE)</f>
        <v>SD</v>
      </c>
      <c r="L345" t="str">
        <f>VLOOKUP(A345,metadata!A:F,6,FALSE)</f>
        <v>CusterSD</v>
      </c>
      <c r="M345">
        <f>VLOOKUP(A345,metadata!A:D,4,FALSE)</f>
        <v>43.816839999999999</v>
      </c>
      <c r="N345">
        <f>VLOOKUP(A345,metadata!A:E,5,FALSE)</f>
        <v>-103.25005</v>
      </c>
    </row>
    <row r="346" spans="1:14" ht="13" hidden="1" x14ac:dyDescent="0.6">
      <c r="A346" s="1" t="s">
        <v>368</v>
      </c>
      <c r="B346" s="1" t="s">
        <v>11</v>
      </c>
      <c r="C346" s="1" t="s">
        <v>11</v>
      </c>
      <c r="D346" s="1">
        <v>0.98784000000000005</v>
      </c>
      <c r="E346" s="1">
        <v>0</v>
      </c>
      <c r="F346" s="1">
        <v>0</v>
      </c>
      <c r="G346" s="1">
        <v>0</v>
      </c>
      <c r="H346" s="1">
        <v>3.8999999999999999E-4</v>
      </c>
      <c r="I346" s="1">
        <v>1.1769999999999999E-2</v>
      </c>
      <c r="J346" s="1" t="s">
        <v>12</v>
      </c>
      <c r="K346" t="str">
        <f>VLOOKUP(A346,metadata!A:I,9,FALSE)</f>
        <v>SD</v>
      </c>
      <c r="L346" t="str">
        <f>VLOOKUP(A346,metadata!A:F,6,FALSE)</f>
        <v>SpearfishSD</v>
      </c>
      <c r="M346">
        <f>VLOOKUP(A346,metadata!A:D,4,FALSE)</f>
        <v>44.491329999999998</v>
      </c>
      <c r="N346">
        <f>VLOOKUP(A346,metadata!A:E,5,FALSE)</f>
        <v>-103.80895</v>
      </c>
    </row>
    <row r="347" spans="1:14" ht="13" hidden="1" x14ac:dyDescent="0.6">
      <c r="A347" s="1" t="s">
        <v>369</v>
      </c>
      <c r="B347" s="1" t="s">
        <v>11</v>
      </c>
      <c r="C347" s="1" t="s">
        <v>11</v>
      </c>
      <c r="D347" s="1">
        <v>0.99555000000000005</v>
      </c>
      <c r="E347" s="1">
        <v>0</v>
      </c>
      <c r="F347" s="1">
        <v>0</v>
      </c>
      <c r="G347" s="1">
        <v>0</v>
      </c>
      <c r="H347" s="1">
        <v>0</v>
      </c>
      <c r="I347" s="1">
        <v>4.4400000000000004E-3</v>
      </c>
      <c r="J347" s="1" t="s">
        <v>12</v>
      </c>
      <c r="K347" t="str">
        <f>VLOOKUP(A347,metadata!A:I,9,FALSE)</f>
        <v>MN</v>
      </c>
      <c r="L347" t="str">
        <f>VLOOKUP(A347,metadata!A:F,6,FALSE)</f>
        <v>CedarCreekMN</v>
      </c>
      <c r="M347">
        <f>VLOOKUP(A347,metadata!A:D,4,FALSE)</f>
        <v>45.389530000000001</v>
      </c>
      <c r="N347">
        <f>VLOOKUP(A347,metadata!A:E,5,FALSE)</f>
        <v>-93.194850000000002</v>
      </c>
    </row>
    <row r="348" spans="1:14" ht="13" hidden="1" x14ac:dyDescent="0.6">
      <c r="A348" s="1" t="s">
        <v>370</v>
      </c>
      <c r="B348" s="1" t="s">
        <v>11</v>
      </c>
      <c r="C348" s="1" t="s">
        <v>11</v>
      </c>
      <c r="D348" s="1">
        <v>0.99714999999999998</v>
      </c>
      <c r="E348" s="1">
        <v>0</v>
      </c>
      <c r="F348" s="1">
        <v>0</v>
      </c>
      <c r="G348" s="1">
        <v>0</v>
      </c>
      <c r="H348" s="1">
        <v>0</v>
      </c>
      <c r="I348" s="1">
        <v>2.8500000000000001E-3</v>
      </c>
      <c r="J348" s="1" t="s">
        <v>12</v>
      </c>
      <c r="K348" t="str">
        <f>VLOOKUP(A348,metadata!A:I,9,FALSE)</f>
        <v>MN</v>
      </c>
      <c r="L348" t="str">
        <f>VLOOKUP(A348,metadata!A:F,6,FALSE)</f>
        <v>SakatahLakeMN</v>
      </c>
      <c r="M348">
        <f>VLOOKUP(A348,metadata!A:D,4,FALSE)</f>
        <v>44.224444400000003</v>
      </c>
      <c r="N348">
        <f>VLOOKUP(A348,metadata!A:E,5,FALSE)</f>
        <v>-93.528333000000003</v>
      </c>
    </row>
    <row r="349" spans="1:14" ht="13" hidden="1" x14ac:dyDescent="0.6">
      <c r="A349" s="1" t="s">
        <v>371</v>
      </c>
      <c r="B349" s="1" t="s">
        <v>11</v>
      </c>
      <c r="C349" s="1" t="s">
        <v>11</v>
      </c>
      <c r="D349" s="1">
        <v>0.99950000000000006</v>
      </c>
      <c r="E349" s="1">
        <v>0</v>
      </c>
      <c r="F349" s="1">
        <v>0</v>
      </c>
      <c r="G349" s="1">
        <v>0</v>
      </c>
      <c r="H349" s="1">
        <v>0</v>
      </c>
      <c r="I349" s="2">
        <v>5.0000000000000001E-4</v>
      </c>
      <c r="J349" s="1" t="s">
        <v>12</v>
      </c>
      <c r="K349" t="str">
        <f>VLOOKUP(A349,metadata!A:I,9,FALSE)</f>
        <v>MN</v>
      </c>
      <c r="L349" t="str">
        <f>VLOOKUP(A349,metadata!A:F,6,FALSE)</f>
        <v>SakatahLakeMN</v>
      </c>
      <c r="M349">
        <f>VLOOKUP(A349,metadata!A:D,4,FALSE)</f>
        <v>44.226111099999997</v>
      </c>
      <c r="N349">
        <f>VLOOKUP(A349,metadata!A:E,5,FALSE)</f>
        <v>-93.471943999999993</v>
      </c>
    </row>
    <row r="350" spans="1:14" ht="13" hidden="1" x14ac:dyDescent="0.6">
      <c r="A350" s="1" t="s">
        <v>372</v>
      </c>
      <c r="B350" s="1" t="s">
        <v>11</v>
      </c>
      <c r="C350" s="1" t="s">
        <v>11</v>
      </c>
      <c r="D350" s="1">
        <v>0.99872000000000005</v>
      </c>
      <c r="E350" s="1">
        <v>0</v>
      </c>
      <c r="F350" s="1">
        <v>0</v>
      </c>
      <c r="G350" s="1">
        <v>0</v>
      </c>
      <c r="H350" s="1">
        <v>0</v>
      </c>
      <c r="I350" s="1">
        <v>1.2800000000000001E-3</v>
      </c>
      <c r="J350" s="1" t="s">
        <v>12</v>
      </c>
      <c r="K350" t="str">
        <f>VLOOKUP(A350,metadata!A:I,9,FALSE)</f>
        <v>MN</v>
      </c>
      <c r="L350" t="str">
        <f>VLOOKUP(A350,metadata!A:F,6,FALSE)</f>
        <v>TwinCitiesMN</v>
      </c>
      <c r="M350">
        <f>VLOOKUP(A350,metadata!A:D,4,FALSE)</f>
        <v>44.867980000000003</v>
      </c>
      <c r="N350">
        <f>VLOOKUP(A350,metadata!A:E,5,FALSE)</f>
        <v>-93.032030000000006</v>
      </c>
    </row>
    <row r="351" spans="1:14" ht="13" hidden="1" x14ac:dyDescent="0.6">
      <c r="A351" s="1" t="s">
        <v>373</v>
      </c>
      <c r="B351" s="1" t="s">
        <v>11</v>
      </c>
      <c r="C351" s="1" t="s">
        <v>11</v>
      </c>
      <c r="D351" s="1">
        <v>0.99970000000000003</v>
      </c>
      <c r="E351" s="1">
        <v>0</v>
      </c>
      <c r="F351" s="1">
        <v>0</v>
      </c>
      <c r="G351" s="1">
        <v>0</v>
      </c>
      <c r="H351" s="1">
        <v>0</v>
      </c>
      <c r="I351" s="2">
        <v>2.9999999999999997E-4</v>
      </c>
      <c r="J351" s="1" t="s">
        <v>12</v>
      </c>
      <c r="K351" t="str">
        <f>VLOOKUP(A351,metadata!A:I,9,FALSE)</f>
        <v>MN</v>
      </c>
      <c r="L351" t="str">
        <f>VLOOKUP(A351,metadata!A:F,6,FALSE)</f>
        <v>SakatahLakeMN</v>
      </c>
      <c r="M351">
        <f>VLOOKUP(A351,metadata!A:D,4,FALSE)</f>
        <v>45.4222222</v>
      </c>
      <c r="N351">
        <f>VLOOKUP(A351,metadata!A:E,5,FALSE)</f>
        <v>-93.188056000000003</v>
      </c>
    </row>
    <row r="352" spans="1:14" ht="13" hidden="1" x14ac:dyDescent="0.6">
      <c r="A352" s="1" t="s">
        <v>374</v>
      </c>
      <c r="B352" s="1" t="s">
        <v>11</v>
      </c>
      <c r="C352" s="1" t="s">
        <v>11</v>
      </c>
      <c r="D352" s="1">
        <v>0.99689000000000005</v>
      </c>
      <c r="E352" s="1">
        <v>0</v>
      </c>
      <c r="F352" s="1">
        <v>0</v>
      </c>
      <c r="G352" s="1">
        <v>0</v>
      </c>
      <c r="H352" s="1">
        <v>0</v>
      </c>
      <c r="I352" s="1">
        <v>3.1099999999999999E-3</v>
      </c>
      <c r="J352" s="1" t="s">
        <v>12</v>
      </c>
      <c r="K352" t="str">
        <f>VLOOKUP(A352,metadata!A:I,9,FALSE)</f>
        <v>IA</v>
      </c>
      <c r="L352" t="str">
        <f>VLOOKUP(A352,metadata!A:F,6,FALSE)</f>
        <v>AmesIA</v>
      </c>
      <c r="M352">
        <f>VLOOKUP(A352,metadata!A:D,4,FALSE)</f>
        <v>42.041409999999999</v>
      </c>
      <c r="N352">
        <f>VLOOKUP(A352,metadata!A:E,5,FALSE)</f>
        <v>-93.678679000000002</v>
      </c>
    </row>
    <row r="353" spans="1:14" ht="13" hidden="1" x14ac:dyDescent="0.6">
      <c r="A353" s="1" t="s">
        <v>375</v>
      </c>
      <c r="B353" s="1" t="s">
        <v>11</v>
      </c>
      <c r="C353" s="1" t="s">
        <v>11</v>
      </c>
      <c r="D353" s="1">
        <v>0.99224000000000001</v>
      </c>
      <c r="E353" s="1">
        <v>0</v>
      </c>
      <c r="F353" s="1">
        <v>0</v>
      </c>
      <c r="G353" s="1">
        <v>0</v>
      </c>
      <c r="H353" s="1">
        <v>0</v>
      </c>
      <c r="I353" s="1">
        <v>7.7600000000000004E-3</v>
      </c>
      <c r="J353" s="1" t="s">
        <v>12</v>
      </c>
      <c r="K353" t="str">
        <f>VLOOKUP(A353,metadata!A:I,9,FALSE)</f>
        <v>IA</v>
      </c>
      <c r="L353" t="str">
        <f>VLOOKUP(A353,metadata!A:F,6,FALSE)</f>
        <v>AmesIA</v>
      </c>
      <c r="M353">
        <f>VLOOKUP(A353,metadata!A:D,4,FALSE)</f>
        <v>42.049532999999997</v>
      </c>
      <c r="N353">
        <f>VLOOKUP(A353,metadata!A:E,5,FALSE)</f>
        <v>-93.679051999999999</v>
      </c>
    </row>
    <row r="354" spans="1:14" ht="13" hidden="1" x14ac:dyDescent="0.6">
      <c r="A354" s="1" t="s">
        <v>376</v>
      </c>
      <c r="B354" s="1" t="s">
        <v>11</v>
      </c>
      <c r="C354" s="1" t="s">
        <v>11</v>
      </c>
      <c r="D354" s="1">
        <v>0.99911000000000005</v>
      </c>
      <c r="E354" s="1">
        <v>0</v>
      </c>
      <c r="F354" s="1">
        <v>0</v>
      </c>
      <c r="G354" s="1">
        <v>0</v>
      </c>
      <c r="H354" s="1">
        <v>0</v>
      </c>
      <c r="I354" s="1">
        <v>8.8999999999999995E-4</v>
      </c>
      <c r="J354" s="1" t="s">
        <v>12</v>
      </c>
      <c r="K354" t="str">
        <f>VLOOKUP(A354,metadata!A:I,9,FALSE)</f>
        <v>IA</v>
      </c>
      <c r="L354" t="str">
        <f>VLOOKUP(A354,metadata!A:F,6,FALSE)</f>
        <v>AmesIA</v>
      </c>
      <c r="M354">
        <f>VLOOKUP(A354,metadata!A:D,4,FALSE)</f>
        <v>42.036203</v>
      </c>
      <c r="N354">
        <f>VLOOKUP(A354,metadata!A:E,5,FALSE)</f>
        <v>-93.639256000000003</v>
      </c>
    </row>
    <row r="355" spans="1:14" ht="13" hidden="1" x14ac:dyDescent="0.6">
      <c r="A355" s="1" t="s">
        <v>377</v>
      </c>
      <c r="B355" s="1" t="s">
        <v>11</v>
      </c>
      <c r="C355" s="1" t="s">
        <v>11</v>
      </c>
      <c r="D355" s="1">
        <v>0.99607000000000001</v>
      </c>
      <c r="E355" s="1">
        <v>0</v>
      </c>
      <c r="F355" s="1">
        <v>0</v>
      </c>
      <c r="G355" s="1">
        <v>0</v>
      </c>
      <c r="H355" s="1">
        <v>0</v>
      </c>
      <c r="I355" s="1">
        <v>3.9300000000000003E-3</v>
      </c>
      <c r="J355" s="1" t="s">
        <v>12</v>
      </c>
      <c r="K355" t="str">
        <f>VLOOKUP(A355,metadata!A:I,9,FALSE)</f>
        <v>IA</v>
      </c>
      <c r="L355" t="str">
        <f>VLOOKUP(A355,metadata!A:F,6,FALSE)</f>
        <v>AmesIA</v>
      </c>
      <c r="M355">
        <f>VLOOKUP(A355,metadata!A:D,4,FALSE)</f>
        <v>42.030898000000001</v>
      </c>
      <c r="N355">
        <f>VLOOKUP(A355,metadata!A:E,5,FALSE)</f>
        <v>-93.632418000000001</v>
      </c>
    </row>
    <row r="356" spans="1:14" ht="13" hidden="1" x14ac:dyDescent="0.6">
      <c r="A356" s="1" t="s">
        <v>378</v>
      </c>
      <c r="B356" s="1" t="s">
        <v>11</v>
      </c>
      <c r="C356" s="1" t="s">
        <v>11</v>
      </c>
      <c r="D356" s="1">
        <v>0.99861</v>
      </c>
      <c r="E356" s="1">
        <v>0</v>
      </c>
      <c r="F356" s="1">
        <v>0</v>
      </c>
      <c r="G356" s="1">
        <v>0</v>
      </c>
      <c r="H356" s="1">
        <v>0</v>
      </c>
      <c r="I356" s="1">
        <v>1.39E-3</v>
      </c>
      <c r="J356" s="1" t="s">
        <v>12</v>
      </c>
      <c r="K356" t="str">
        <f>VLOOKUP(A356,metadata!A:I,9,FALSE)</f>
        <v>IA</v>
      </c>
      <c r="L356" t="str">
        <f>VLOOKUP(A356,metadata!A:F,6,FALSE)</f>
        <v>AmesIA</v>
      </c>
      <c r="M356">
        <f>VLOOKUP(A356,metadata!A:D,4,FALSE)</f>
        <v>42.023609</v>
      </c>
      <c r="N356">
        <f>VLOOKUP(A356,metadata!A:E,5,FALSE)</f>
        <v>-93.633087000000003</v>
      </c>
    </row>
    <row r="357" spans="1:14" ht="13" hidden="1" x14ac:dyDescent="0.6">
      <c r="A357" s="1" t="s">
        <v>379</v>
      </c>
      <c r="B357" s="1" t="s">
        <v>11</v>
      </c>
      <c r="C357" s="1" t="s">
        <v>11</v>
      </c>
      <c r="D357" s="1">
        <v>0.99953000000000003</v>
      </c>
      <c r="E357" s="1">
        <v>0</v>
      </c>
      <c r="F357" s="1">
        <v>0</v>
      </c>
      <c r="G357" s="1">
        <v>0</v>
      </c>
      <c r="H357" s="1">
        <v>0</v>
      </c>
      <c r="I357" s="1">
        <v>4.6999999999999999E-4</v>
      </c>
      <c r="J357" s="1" t="s">
        <v>12</v>
      </c>
      <c r="K357" t="str">
        <f>VLOOKUP(A357,metadata!A:I,9,FALSE)</f>
        <v>MN</v>
      </c>
      <c r="L357" t="str">
        <f>VLOOKUP(A357,metadata!A:F,6,FALSE)</f>
        <v>NA</v>
      </c>
      <c r="M357" t="str">
        <f>VLOOKUP(A357,metadata!A:D,4,FALSE)</f>
        <v>NA</v>
      </c>
      <c r="N357" t="str">
        <f>VLOOKUP(A357,metadata!A:E,5,FALSE)</f>
        <v>NA</v>
      </c>
    </row>
    <row r="358" spans="1:14" ht="13" hidden="1" x14ac:dyDescent="0.6">
      <c r="A358" s="1" t="s">
        <v>380</v>
      </c>
      <c r="B358" s="1" t="s">
        <v>11</v>
      </c>
      <c r="C358" s="1" t="s">
        <v>11</v>
      </c>
      <c r="D358" s="1">
        <v>0.99850000000000005</v>
      </c>
      <c r="E358" s="1">
        <v>0</v>
      </c>
      <c r="F358" s="1">
        <v>0</v>
      </c>
      <c r="G358" s="1">
        <v>0</v>
      </c>
      <c r="H358" s="1">
        <v>0</v>
      </c>
      <c r="I358" s="1">
        <v>1.5E-3</v>
      </c>
      <c r="J358" s="1" t="s">
        <v>12</v>
      </c>
      <c r="K358" t="str">
        <f>VLOOKUP(A358,metadata!A:I,9,FALSE)</f>
        <v>MN</v>
      </c>
      <c r="L358" t="str">
        <f>VLOOKUP(A358,metadata!A:F,6,FALSE)</f>
        <v>AustinMN</v>
      </c>
      <c r="M358">
        <f>VLOOKUP(A358,metadata!A:D,4,FALSE)</f>
        <v>43.684809999999999</v>
      </c>
      <c r="N358">
        <f>VLOOKUP(A358,metadata!A:E,5,FALSE)</f>
        <v>-92.926959999999994</v>
      </c>
    </row>
    <row r="359" spans="1:14" ht="13" hidden="1" x14ac:dyDescent="0.6">
      <c r="A359" s="1" t="s">
        <v>381</v>
      </c>
      <c r="B359" s="1" t="s">
        <v>11</v>
      </c>
      <c r="C359" s="1" t="s">
        <v>11</v>
      </c>
      <c r="D359" s="1">
        <v>0.95704</v>
      </c>
      <c r="E359" s="1">
        <v>0</v>
      </c>
      <c r="F359" s="1">
        <v>0</v>
      </c>
      <c r="G359" s="1">
        <v>0</v>
      </c>
      <c r="H359" s="2">
        <v>2.0000000000000002E-5</v>
      </c>
      <c r="I359" s="1">
        <v>4.2939999999999999E-2</v>
      </c>
      <c r="J359" s="1" t="s">
        <v>12</v>
      </c>
      <c r="K359" t="str">
        <f>VLOOKUP(A359,metadata!A:I,9,FALSE)</f>
        <v>MN</v>
      </c>
      <c r="L359" t="str">
        <f>VLOOKUP(A359,metadata!A:F,6,FALSE)</f>
        <v>AustinMN</v>
      </c>
      <c r="M359">
        <f>VLOOKUP(A359,metadata!A:D,4,FALSE)</f>
        <v>43.684609999999999</v>
      </c>
      <c r="N359">
        <f>VLOOKUP(A359,metadata!A:E,5,FALSE)</f>
        <v>-92.921340000000001</v>
      </c>
    </row>
    <row r="360" spans="1:14" ht="13" hidden="1" x14ac:dyDescent="0.6">
      <c r="A360" s="1" t="s">
        <v>382</v>
      </c>
      <c r="B360" s="1" t="s">
        <v>11</v>
      </c>
      <c r="C360" s="1" t="s">
        <v>11</v>
      </c>
      <c r="D360" s="1">
        <v>0.99636000000000002</v>
      </c>
      <c r="E360" s="1">
        <v>0</v>
      </c>
      <c r="F360" s="1">
        <v>0</v>
      </c>
      <c r="G360" s="1">
        <v>0</v>
      </c>
      <c r="H360" s="1">
        <v>0</v>
      </c>
      <c r="I360" s="1">
        <v>3.64E-3</v>
      </c>
      <c r="J360" s="1" t="s">
        <v>12</v>
      </c>
      <c r="K360" t="str">
        <f>VLOOKUP(A360,metadata!A:I,9,FALSE)</f>
        <v>MN</v>
      </c>
      <c r="L360" t="str">
        <f>VLOOKUP(A360,metadata!A:F,6,FALSE)</f>
        <v>AustinMN</v>
      </c>
      <c r="M360">
        <f>VLOOKUP(A360,metadata!A:D,4,FALSE)</f>
        <v>43.688360000000003</v>
      </c>
      <c r="N360">
        <f>VLOOKUP(A360,metadata!A:E,5,FALSE)</f>
        <v>-92.92859</v>
      </c>
    </row>
    <row r="361" spans="1:14" ht="13" hidden="1" x14ac:dyDescent="0.6">
      <c r="A361" s="1" t="s">
        <v>383</v>
      </c>
      <c r="B361" s="1" t="s">
        <v>11</v>
      </c>
      <c r="C361" s="1" t="s">
        <v>11</v>
      </c>
      <c r="D361" s="1">
        <v>0.95409999999999995</v>
      </c>
      <c r="E361" s="1">
        <v>0</v>
      </c>
      <c r="F361" s="1">
        <v>0</v>
      </c>
      <c r="G361" s="1">
        <v>0</v>
      </c>
      <c r="H361" s="2">
        <v>9.0000000000000006E-5</v>
      </c>
      <c r="I361" s="1">
        <v>4.58E-2</v>
      </c>
      <c r="J361" s="1" t="s">
        <v>12</v>
      </c>
      <c r="K361" t="str">
        <f>VLOOKUP(A361,metadata!A:I,9,FALSE)</f>
        <v>MN</v>
      </c>
      <c r="L361" t="str">
        <f>VLOOKUP(A361,metadata!A:F,6,FALSE)</f>
        <v>AustinMN</v>
      </c>
      <c r="M361">
        <f>VLOOKUP(A361,metadata!A:D,4,FALSE)</f>
        <v>43.677</v>
      </c>
      <c r="N361">
        <f>VLOOKUP(A361,metadata!A:E,5,FALSE)</f>
        <v>-92.937690000000003</v>
      </c>
    </row>
    <row r="362" spans="1:14" ht="13" hidden="1" x14ac:dyDescent="0.6">
      <c r="A362" s="1" t="s">
        <v>384</v>
      </c>
      <c r="B362" s="1" t="s">
        <v>11</v>
      </c>
      <c r="C362" s="1" t="s">
        <v>11</v>
      </c>
      <c r="D362" s="1">
        <v>0.99983</v>
      </c>
      <c r="E362" s="1">
        <v>0</v>
      </c>
      <c r="F362" s="1">
        <v>0</v>
      </c>
      <c r="G362" s="1">
        <v>0</v>
      </c>
      <c r="H362" s="1">
        <v>0</v>
      </c>
      <c r="I362" s="1">
        <v>1.7000000000000001E-4</v>
      </c>
      <c r="J362" s="1" t="s">
        <v>12</v>
      </c>
      <c r="K362" t="str">
        <f>VLOOKUP(A362,metadata!A:I,9,FALSE)</f>
        <v>MN</v>
      </c>
      <c r="L362" t="str">
        <f>VLOOKUP(A362,metadata!A:F,6,FALSE)</f>
        <v>AustinMN</v>
      </c>
      <c r="M362">
        <f>VLOOKUP(A362,metadata!A:D,4,FALSE)</f>
        <v>43.685310000000001</v>
      </c>
      <c r="N362">
        <f>VLOOKUP(A362,metadata!A:E,5,FALSE)</f>
        <v>-92.922920000000005</v>
      </c>
    </row>
    <row r="363" spans="1:14" ht="13" hidden="1" x14ac:dyDescent="0.6">
      <c r="A363" s="1" t="s">
        <v>385</v>
      </c>
      <c r="B363" s="1" t="s">
        <v>11</v>
      </c>
      <c r="C363" s="1" t="s">
        <v>11</v>
      </c>
      <c r="D363" s="1">
        <v>0.98285</v>
      </c>
      <c r="E363" s="1">
        <v>0</v>
      </c>
      <c r="F363" s="1">
        <v>0</v>
      </c>
      <c r="G363" s="1">
        <v>0</v>
      </c>
      <c r="H363" s="2">
        <v>2.0000000000000002E-5</v>
      </c>
      <c r="I363" s="1">
        <v>1.7129999999999999E-2</v>
      </c>
      <c r="J363" s="1" t="s">
        <v>12</v>
      </c>
      <c r="K363" t="str">
        <f>VLOOKUP(A363,metadata!A:I,9,FALSE)</f>
        <v>MN</v>
      </c>
      <c r="L363" t="str">
        <f>VLOOKUP(A363,metadata!A:F,6,FALSE)</f>
        <v>AustinMN</v>
      </c>
      <c r="M363">
        <f>VLOOKUP(A363,metadata!A:D,4,FALSE)</f>
        <v>43.677</v>
      </c>
      <c r="N363">
        <f>VLOOKUP(A363,metadata!A:E,5,FALSE)</f>
        <v>-92.937690000000003</v>
      </c>
    </row>
    <row r="364" spans="1:14" ht="13" hidden="1" x14ac:dyDescent="0.6"/>
    <row r="365" spans="1:14" ht="13" hidden="1" x14ac:dyDescent="0.6"/>
    <row r="366" spans="1:14" ht="13" hidden="1" x14ac:dyDescent="0.6"/>
    <row r="367" spans="1:14" ht="13" hidden="1" x14ac:dyDescent="0.6"/>
    <row r="368" spans="1:14" ht="13" hidden="1" x14ac:dyDescent="0.6"/>
    <row r="369" ht="13" hidden="1" x14ac:dyDescent="0.6"/>
    <row r="370" ht="13" hidden="1" x14ac:dyDescent="0.6"/>
    <row r="371" ht="13" hidden="1" x14ac:dyDescent="0.6"/>
    <row r="372" ht="13" hidden="1" x14ac:dyDescent="0.6"/>
    <row r="373" ht="13" hidden="1" x14ac:dyDescent="0.6"/>
    <row r="374" ht="13" hidden="1" x14ac:dyDescent="0.6"/>
    <row r="375" ht="13" hidden="1" x14ac:dyDescent="0.6"/>
    <row r="376" ht="13" hidden="1" x14ac:dyDescent="0.6"/>
    <row r="377" ht="13" hidden="1" x14ac:dyDescent="0.6"/>
    <row r="378" ht="13" hidden="1" x14ac:dyDescent="0.6"/>
    <row r="379" ht="13" hidden="1" x14ac:dyDescent="0.6"/>
    <row r="380" ht="13" hidden="1" x14ac:dyDescent="0.6"/>
    <row r="381" ht="13" hidden="1" x14ac:dyDescent="0.6"/>
    <row r="382" ht="13" hidden="1" x14ac:dyDescent="0.6"/>
    <row r="383" ht="13" hidden="1" x14ac:dyDescent="0.6"/>
    <row r="384" ht="13" hidden="1" x14ac:dyDescent="0.6"/>
    <row r="385" ht="13" hidden="1" x14ac:dyDescent="0.6"/>
    <row r="386" ht="13" hidden="1" x14ac:dyDescent="0.6"/>
    <row r="387" ht="13" hidden="1" x14ac:dyDescent="0.6"/>
    <row r="388" ht="13" hidden="1" x14ac:dyDescent="0.6"/>
    <row r="389" ht="13" hidden="1" x14ac:dyDescent="0.6"/>
    <row r="390" ht="13" hidden="1" x14ac:dyDescent="0.6"/>
    <row r="391" ht="13" hidden="1" x14ac:dyDescent="0.6"/>
    <row r="392" ht="13" hidden="1" x14ac:dyDescent="0.6"/>
    <row r="393" ht="13" hidden="1" x14ac:dyDescent="0.6"/>
    <row r="394" ht="13" hidden="1" x14ac:dyDescent="0.6"/>
    <row r="395" ht="13" hidden="1" x14ac:dyDescent="0.6"/>
    <row r="396" ht="13" hidden="1" x14ac:dyDescent="0.6"/>
    <row r="397" ht="13" hidden="1" x14ac:dyDescent="0.6"/>
    <row r="398" ht="13" hidden="1" x14ac:dyDescent="0.6"/>
    <row r="399" ht="13" hidden="1" x14ac:dyDescent="0.6"/>
    <row r="400" ht="13" hidden="1" x14ac:dyDescent="0.6"/>
    <row r="401" ht="13" hidden="1" x14ac:dyDescent="0.6"/>
    <row r="402" ht="13" hidden="1" x14ac:dyDescent="0.6"/>
    <row r="403" ht="13" hidden="1" x14ac:dyDescent="0.6"/>
    <row r="404" ht="13" hidden="1" x14ac:dyDescent="0.6"/>
    <row r="405" ht="13" hidden="1" x14ac:dyDescent="0.6"/>
    <row r="406" ht="13" hidden="1" x14ac:dyDescent="0.6"/>
    <row r="407" ht="13" hidden="1" x14ac:dyDescent="0.6"/>
    <row r="408" ht="13" hidden="1" x14ac:dyDescent="0.6"/>
    <row r="409" ht="13" hidden="1" x14ac:dyDescent="0.6"/>
    <row r="410" ht="13" hidden="1" x14ac:dyDescent="0.6"/>
    <row r="411" ht="13" hidden="1" x14ac:dyDescent="0.6"/>
    <row r="412" ht="13" hidden="1" x14ac:dyDescent="0.6"/>
    <row r="413" ht="13" hidden="1" x14ac:dyDescent="0.6"/>
    <row r="414" ht="13" hidden="1" x14ac:dyDescent="0.6"/>
    <row r="415" ht="13" hidden="1" x14ac:dyDescent="0.6"/>
    <row r="416" ht="13" hidden="1" x14ac:dyDescent="0.6"/>
    <row r="417" ht="13" hidden="1" x14ac:dyDescent="0.6"/>
    <row r="418" ht="13" hidden="1" x14ac:dyDescent="0.6"/>
    <row r="419" ht="13" hidden="1" x14ac:dyDescent="0.6"/>
    <row r="420" ht="13" hidden="1" x14ac:dyDescent="0.6"/>
    <row r="421" ht="13" hidden="1" x14ac:dyDescent="0.6"/>
    <row r="422" ht="13" hidden="1" x14ac:dyDescent="0.6"/>
    <row r="423" ht="13" hidden="1" x14ac:dyDescent="0.6"/>
    <row r="424" ht="13" hidden="1" x14ac:dyDescent="0.6"/>
    <row r="425" ht="13" hidden="1" x14ac:dyDescent="0.6"/>
    <row r="426" ht="13" hidden="1" x14ac:dyDescent="0.6"/>
    <row r="427" ht="13" hidden="1" x14ac:dyDescent="0.6"/>
    <row r="428" ht="13" hidden="1" x14ac:dyDescent="0.6"/>
    <row r="429" ht="13" hidden="1" x14ac:dyDescent="0.6"/>
    <row r="430" ht="13" hidden="1" x14ac:dyDescent="0.6"/>
    <row r="431" ht="13" hidden="1" x14ac:dyDescent="0.6"/>
    <row r="432" ht="13" hidden="1" x14ac:dyDescent="0.6"/>
    <row r="433" ht="13" hidden="1" x14ac:dyDescent="0.6"/>
    <row r="434" ht="13" hidden="1" x14ac:dyDescent="0.6"/>
    <row r="435" ht="13" hidden="1" x14ac:dyDescent="0.6"/>
    <row r="436" ht="13" hidden="1" x14ac:dyDescent="0.6"/>
    <row r="437" ht="13" hidden="1" x14ac:dyDescent="0.6"/>
    <row r="438" ht="13" hidden="1" x14ac:dyDescent="0.6"/>
    <row r="439" ht="13" hidden="1" x14ac:dyDescent="0.6"/>
    <row r="440" ht="13" hidden="1" x14ac:dyDescent="0.6"/>
    <row r="441" ht="13" hidden="1" x14ac:dyDescent="0.6"/>
    <row r="442" ht="13" hidden="1" x14ac:dyDescent="0.6"/>
    <row r="443" ht="13" hidden="1" x14ac:dyDescent="0.6"/>
    <row r="444" ht="13" hidden="1" x14ac:dyDescent="0.6"/>
    <row r="445" ht="13" hidden="1" x14ac:dyDescent="0.6"/>
    <row r="446" ht="13" hidden="1" x14ac:dyDescent="0.6"/>
    <row r="447" ht="13" hidden="1" x14ac:dyDescent="0.6"/>
    <row r="448" ht="13" hidden="1" x14ac:dyDescent="0.6"/>
    <row r="449" ht="13" hidden="1" x14ac:dyDescent="0.6"/>
    <row r="450" ht="13" hidden="1" x14ac:dyDescent="0.6"/>
    <row r="451" ht="13" hidden="1" x14ac:dyDescent="0.6"/>
    <row r="452" ht="13" hidden="1" x14ac:dyDescent="0.6"/>
    <row r="453" ht="13" hidden="1" x14ac:dyDescent="0.6"/>
    <row r="454" ht="13" hidden="1" x14ac:dyDescent="0.6"/>
    <row r="455" ht="13" hidden="1" x14ac:dyDescent="0.6"/>
    <row r="456" ht="13" hidden="1" x14ac:dyDescent="0.6"/>
    <row r="457" ht="13" hidden="1" x14ac:dyDescent="0.6"/>
    <row r="458" ht="13" hidden="1" x14ac:dyDescent="0.6"/>
    <row r="459" ht="13" hidden="1" x14ac:dyDescent="0.6"/>
    <row r="460" ht="13" hidden="1" x14ac:dyDescent="0.6"/>
    <row r="461" ht="13" hidden="1" x14ac:dyDescent="0.6"/>
    <row r="462" ht="13" hidden="1" x14ac:dyDescent="0.6"/>
    <row r="463" ht="13" hidden="1" x14ac:dyDescent="0.6"/>
    <row r="464" ht="13" hidden="1" x14ac:dyDescent="0.6"/>
    <row r="465" ht="13" hidden="1" x14ac:dyDescent="0.6"/>
    <row r="466" ht="13" hidden="1" x14ac:dyDescent="0.6"/>
    <row r="467" ht="13" hidden="1" x14ac:dyDescent="0.6"/>
    <row r="468" ht="13" hidden="1" x14ac:dyDescent="0.6"/>
    <row r="469" ht="13" hidden="1" x14ac:dyDescent="0.6"/>
    <row r="470" ht="13" hidden="1" x14ac:dyDescent="0.6"/>
    <row r="471" ht="13" hidden="1" x14ac:dyDescent="0.6"/>
    <row r="472" ht="13" hidden="1" x14ac:dyDescent="0.6"/>
    <row r="473" ht="13" hidden="1" x14ac:dyDescent="0.6"/>
    <row r="474" ht="13" hidden="1" x14ac:dyDescent="0.6"/>
    <row r="475" ht="13" hidden="1" x14ac:dyDescent="0.6"/>
    <row r="476" ht="13" hidden="1" x14ac:dyDescent="0.6"/>
    <row r="477" ht="13" hidden="1" x14ac:dyDescent="0.6"/>
    <row r="478" ht="13" hidden="1" x14ac:dyDescent="0.6"/>
    <row r="479" ht="13" hidden="1" x14ac:dyDescent="0.6"/>
    <row r="480" ht="13" hidden="1" x14ac:dyDescent="0.6"/>
    <row r="481" ht="13" hidden="1" x14ac:dyDescent="0.6"/>
    <row r="482" ht="13" hidden="1" x14ac:dyDescent="0.6"/>
    <row r="483" ht="13" hidden="1" x14ac:dyDescent="0.6"/>
    <row r="484" ht="13" hidden="1" x14ac:dyDescent="0.6"/>
    <row r="485" ht="13" hidden="1" x14ac:dyDescent="0.6"/>
    <row r="486" ht="13" hidden="1" x14ac:dyDescent="0.6"/>
    <row r="487" ht="13" hidden="1" x14ac:dyDescent="0.6"/>
    <row r="488" ht="13" hidden="1" x14ac:dyDescent="0.6"/>
    <row r="489" ht="13" hidden="1" x14ac:dyDescent="0.6"/>
    <row r="490" ht="13" hidden="1" x14ac:dyDescent="0.6"/>
    <row r="491" ht="13" hidden="1" x14ac:dyDescent="0.6"/>
    <row r="492" ht="13" hidden="1" x14ac:dyDescent="0.6"/>
    <row r="493" ht="13" hidden="1" x14ac:dyDescent="0.6"/>
    <row r="494" ht="13" hidden="1" x14ac:dyDescent="0.6"/>
    <row r="495" ht="13" hidden="1" x14ac:dyDescent="0.6"/>
    <row r="496" ht="13" hidden="1" x14ac:dyDescent="0.6"/>
    <row r="497" ht="13" hidden="1" x14ac:dyDescent="0.6"/>
    <row r="498" ht="13" hidden="1" x14ac:dyDescent="0.6"/>
    <row r="499" ht="13" hidden="1" x14ac:dyDescent="0.6"/>
    <row r="500" ht="13" hidden="1" x14ac:dyDescent="0.6"/>
    <row r="501" ht="13" hidden="1" x14ac:dyDescent="0.6"/>
    <row r="502" ht="13" hidden="1" x14ac:dyDescent="0.6"/>
    <row r="503" ht="13" hidden="1" x14ac:dyDescent="0.6"/>
    <row r="504" ht="13" hidden="1" x14ac:dyDescent="0.6"/>
    <row r="505" ht="13" hidden="1" x14ac:dyDescent="0.6"/>
    <row r="506" ht="13" hidden="1" x14ac:dyDescent="0.6"/>
    <row r="507" ht="13" hidden="1" x14ac:dyDescent="0.6"/>
    <row r="508" ht="13" hidden="1" x14ac:dyDescent="0.6"/>
    <row r="509" ht="13" hidden="1" x14ac:dyDescent="0.6"/>
    <row r="510" ht="13" hidden="1" x14ac:dyDescent="0.6"/>
    <row r="511" ht="13" hidden="1" x14ac:dyDescent="0.6"/>
    <row r="512" ht="13" hidden="1" x14ac:dyDescent="0.6"/>
    <row r="513" ht="13" hidden="1" x14ac:dyDescent="0.6"/>
    <row r="514" ht="13" hidden="1" x14ac:dyDescent="0.6"/>
    <row r="515" ht="13" hidden="1" x14ac:dyDescent="0.6"/>
    <row r="516" ht="13" hidden="1" x14ac:dyDescent="0.6"/>
    <row r="517" ht="13" hidden="1" x14ac:dyDescent="0.6"/>
    <row r="518" ht="13" hidden="1" x14ac:dyDescent="0.6"/>
    <row r="519" ht="13" hidden="1" x14ac:dyDescent="0.6"/>
    <row r="520" ht="13" hidden="1" x14ac:dyDescent="0.6"/>
    <row r="521" ht="13" hidden="1" x14ac:dyDescent="0.6"/>
    <row r="522" ht="13" hidden="1" x14ac:dyDescent="0.6"/>
    <row r="523" ht="13" hidden="1" x14ac:dyDescent="0.6"/>
    <row r="524" ht="13" hidden="1" x14ac:dyDescent="0.6"/>
    <row r="525" ht="13" hidden="1" x14ac:dyDescent="0.6"/>
    <row r="526" ht="13" hidden="1" x14ac:dyDescent="0.6"/>
    <row r="527" ht="13" hidden="1" x14ac:dyDescent="0.6"/>
    <row r="528" ht="13" hidden="1" x14ac:dyDescent="0.6"/>
    <row r="529" ht="13" hidden="1" x14ac:dyDescent="0.6"/>
    <row r="530" ht="13" hidden="1" x14ac:dyDescent="0.6"/>
    <row r="531" ht="13" hidden="1" x14ac:dyDescent="0.6"/>
    <row r="532" ht="13" hidden="1" x14ac:dyDescent="0.6"/>
    <row r="533" ht="13" hidden="1" x14ac:dyDescent="0.6"/>
    <row r="534" ht="13" hidden="1" x14ac:dyDescent="0.6"/>
    <row r="535" ht="13" hidden="1" x14ac:dyDescent="0.6"/>
    <row r="536" ht="13" hidden="1" x14ac:dyDescent="0.6"/>
    <row r="537" ht="13" hidden="1" x14ac:dyDescent="0.6"/>
    <row r="538" ht="13" hidden="1" x14ac:dyDescent="0.6"/>
    <row r="539" ht="13" hidden="1" x14ac:dyDescent="0.6"/>
    <row r="540" ht="13" hidden="1" x14ac:dyDescent="0.6"/>
    <row r="541" ht="13" hidden="1" x14ac:dyDescent="0.6"/>
    <row r="542" ht="13" hidden="1" x14ac:dyDescent="0.6"/>
    <row r="543" ht="13" hidden="1" x14ac:dyDescent="0.6"/>
    <row r="544" ht="13" hidden="1" x14ac:dyDescent="0.6"/>
    <row r="545" ht="13" hidden="1" x14ac:dyDescent="0.6"/>
    <row r="546" ht="13" hidden="1" x14ac:dyDescent="0.6"/>
    <row r="547" ht="13" hidden="1" x14ac:dyDescent="0.6"/>
    <row r="548" ht="13" hidden="1" x14ac:dyDescent="0.6"/>
    <row r="549" ht="13" hidden="1" x14ac:dyDescent="0.6"/>
    <row r="550" ht="13" hidden="1" x14ac:dyDescent="0.6"/>
    <row r="551" ht="13" hidden="1" x14ac:dyDescent="0.6"/>
    <row r="552" ht="13" hidden="1" x14ac:dyDescent="0.6"/>
    <row r="553" ht="13" hidden="1" x14ac:dyDescent="0.6"/>
    <row r="554" ht="13" hidden="1" x14ac:dyDescent="0.6"/>
    <row r="555" ht="13" hidden="1" x14ac:dyDescent="0.6"/>
    <row r="556" ht="13" hidden="1" x14ac:dyDescent="0.6"/>
    <row r="557" ht="13" hidden="1" x14ac:dyDescent="0.6"/>
    <row r="558" ht="13" hidden="1" x14ac:dyDescent="0.6"/>
    <row r="559" ht="13" hidden="1" x14ac:dyDescent="0.6"/>
    <row r="560" ht="13" hidden="1" x14ac:dyDescent="0.6"/>
    <row r="561" ht="13" hidden="1" x14ac:dyDescent="0.6"/>
    <row r="562" ht="13" hidden="1" x14ac:dyDescent="0.6"/>
    <row r="563" ht="13" hidden="1" x14ac:dyDescent="0.6"/>
    <row r="564" ht="13" hidden="1" x14ac:dyDescent="0.6"/>
    <row r="565" ht="13" hidden="1" x14ac:dyDescent="0.6"/>
    <row r="566" ht="13" hidden="1" x14ac:dyDescent="0.6"/>
    <row r="567" ht="13" hidden="1" x14ac:dyDescent="0.6"/>
    <row r="568" ht="13" hidden="1" x14ac:dyDescent="0.6"/>
    <row r="569" ht="13" hidden="1" x14ac:dyDescent="0.6"/>
    <row r="570" ht="13" hidden="1" x14ac:dyDescent="0.6"/>
    <row r="571" ht="13" hidden="1" x14ac:dyDescent="0.6"/>
    <row r="572" ht="13" hidden="1" x14ac:dyDescent="0.6"/>
    <row r="573" ht="13" hidden="1" x14ac:dyDescent="0.6"/>
    <row r="574" ht="13" hidden="1" x14ac:dyDescent="0.6"/>
    <row r="575" ht="13" hidden="1" x14ac:dyDescent="0.6"/>
    <row r="576" ht="13" hidden="1" x14ac:dyDescent="0.6"/>
    <row r="577" ht="13" hidden="1" x14ac:dyDescent="0.6"/>
    <row r="578" ht="13" hidden="1" x14ac:dyDescent="0.6"/>
    <row r="579" ht="13" hidden="1" x14ac:dyDescent="0.6"/>
    <row r="580" ht="13" hidden="1" x14ac:dyDescent="0.6"/>
    <row r="581" ht="13" hidden="1" x14ac:dyDescent="0.6"/>
    <row r="582" ht="13" hidden="1" x14ac:dyDescent="0.6"/>
    <row r="583" ht="13" hidden="1" x14ac:dyDescent="0.6"/>
    <row r="584" ht="13" hidden="1" x14ac:dyDescent="0.6"/>
    <row r="585" ht="13" hidden="1" x14ac:dyDescent="0.6"/>
    <row r="586" ht="13" hidden="1" x14ac:dyDescent="0.6"/>
    <row r="587" ht="13" hidden="1" x14ac:dyDescent="0.6"/>
    <row r="588" ht="13" hidden="1" x14ac:dyDescent="0.6"/>
    <row r="589" ht="13" hidden="1" x14ac:dyDescent="0.6"/>
    <row r="590" ht="13" hidden="1" x14ac:dyDescent="0.6"/>
    <row r="591" ht="13" hidden="1" x14ac:dyDescent="0.6"/>
    <row r="592" ht="13" hidden="1" x14ac:dyDescent="0.6"/>
    <row r="593" ht="13" hidden="1" x14ac:dyDescent="0.6"/>
    <row r="594" ht="13" hidden="1" x14ac:dyDescent="0.6"/>
    <row r="595" ht="13" hidden="1" x14ac:dyDescent="0.6"/>
    <row r="596" ht="13" hidden="1" x14ac:dyDescent="0.6"/>
    <row r="597" ht="13" hidden="1" x14ac:dyDescent="0.6"/>
    <row r="598" ht="13" hidden="1" x14ac:dyDescent="0.6"/>
    <row r="599" ht="13" hidden="1" x14ac:dyDescent="0.6"/>
    <row r="600" ht="13" hidden="1" x14ac:dyDescent="0.6"/>
    <row r="601" ht="13" hidden="1" x14ac:dyDescent="0.6"/>
    <row r="602" ht="13" hidden="1" x14ac:dyDescent="0.6"/>
    <row r="603" ht="13" hidden="1" x14ac:dyDescent="0.6"/>
    <row r="604" ht="13" hidden="1" x14ac:dyDescent="0.6"/>
    <row r="605" ht="13" hidden="1" x14ac:dyDescent="0.6"/>
    <row r="606" ht="13" hidden="1" x14ac:dyDescent="0.6"/>
    <row r="607" ht="13" hidden="1" x14ac:dyDescent="0.6"/>
    <row r="608" ht="13" hidden="1" x14ac:dyDescent="0.6"/>
    <row r="609" ht="13" hidden="1" x14ac:dyDescent="0.6"/>
    <row r="610" ht="13" hidden="1" x14ac:dyDescent="0.6"/>
    <row r="611" ht="13" hidden="1" x14ac:dyDescent="0.6"/>
    <row r="612" ht="13" hidden="1" x14ac:dyDescent="0.6"/>
    <row r="613" ht="13" hidden="1" x14ac:dyDescent="0.6"/>
    <row r="614" ht="13" hidden="1" x14ac:dyDescent="0.6"/>
    <row r="615" ht="13" hidden="1" x14ac:dyDescent="0.6"/>
    <row r="616" ht="13" hidden="1" x14ac:dyDescent="0.6"/>
    <row r="617" ht="13" hidden="1" x14ac:dyDescent="0.6"/>
    <row r="618" ht="13" hidden="1" x14ac:dyDescent="0.6"/>
    <row r="619" ht="13" hidden="1" x14ac:dyDescent="0.6"/>
    <row r="620" ht="13" hidden="1" x14ac:dyDescent="0.6"/>
    <row r="621" ht="13" hidden="1" x14ac:dyDescent="0.6"/>
    <row r="622" ht="13" hidden="1" x14ac:dyDescent="0.6"/>
    <row r="623" ht="13" hidden="1" x14ac:dyDescent="0.6"/>
    <row r="624" ht="13" hidden="1" x14ac:dyDescent="0.6"/>
    <row r="625" ht="13" hidden="1" x14ac:dyDescent="0.6"/>
    <row r="626" ht="13" hidden="1" x14ac:dyDescent="0.6"/>
    <row r="627" ht="13" hidden="1" x14ac:dyDescent="0.6"/>
    <row r="628" ht="13" hidden="1" x14ac:dyDescent="0.6"/>
    <row r="629" ht="13" hidden="1" x14ac:dyDescent="0.6"/>
    <row r="630" ht="13" hidden="1" x14ac:dyDescent="0.6"/>
    <row r="631" ht="13" hidden="1" x14ac:dyDescent="0.6"/>
    <row r="632" ht="13" hidden="1" x14ac:dyDescent="0.6"/>
    <row r="633" ht="13" hidden="1" x14ac:dyDescent="0.6"/>
    <row r="634" ht="13" hidden="1" x14ac:dyDescent="0.6"/>
    <row r="635" ht="13" hidden="1" x14ac:dyDescent="0.6"/>
    <row r="636" ht="13" hidden="1" x14ac:dyDescent="0.6"/>
    <row r="637" ht="13" hidden="1" x14ac:dyDescent="0.6"/>
    <row r="638" ht="13" hidden="1" x14ac:dyDescent="0.6"/>
    <row r="639" ht="13" hidden="1" x14ac:dyDescent="0.6"/>
    <row r="640" ht="13" hidden="1" x14ac:dyDescent="0.6"/>
    <row r="641" ht="13" hidden="1" x14ac:dyDescent="0.6"/>
    <row r="642" ht="13" hidden="1" x14ac:dyDescent="0.6"/>
    <row r="643" ht="13" hidden="1" x14ac:dyDescent="0.6"/>
    <row r="644" ht="13" hidden="1" x14ac:dyDescent="0.6"/>
    <row r="645" ht="13" hidden="1" x14ac:dyDescent="0.6"/>
    <row r="646" ht="13" hidden="1" x14ac:dyDescent="0.6"/>
    <row r="647" ht="13" hidden="1" x14ac:dyDescent="0.6"/>
    <row r="648" ht="13" hidden="1" x14ac:dyDescent="0.6"/>
    <row r="649" ht="13" hidden="1" x14ac:dyDescent="0.6"/>
    <row r="650" ht="13" hidden="1" x14ac:dyDescent="0.6"/>
    <row r="651" ht="13" hidden="1" x14ac:dyDescent="0.6"/>
    <row r="652" ht="13" hidden="1" x14ac:dyDescent="0.6"/>
    <row r="653" ht="13" hidden="1" x14ac:dyDescent="0.6"/>
    <row r="654" ht="13" hidden="1" x14ac:dyDescent="0.6"/>
    <row r="655" ht="13" hidden="1" x14ac:dyDescent="0.6"/>
    <row r="656" ht="13" hidden="1" x14ac:dyDescent="0.6"/>
    <row r="657" ht="13" hidden="1" x14ac:dyDescent="0.6"/>
    <row r="658" ht="13" hidden="1" x14ac:dyDescent="0.6"/>
    <row r="659" ht="13" hidden="1" x14ac:dyDescent="0.6"/>
    <row r="660" ht="13" hidden="1" x14ac:dyDescent="0.6"/>
    <row r="661" ht="13" hidden="1" x14ac:dyDescent="0.6"/>
    <row r="662" ht="13" hidden="1" x14ac:dyDescent="0.6"/>
    <row r="663" ht="13" hidden="1" x14ac:dyDescent="0.6"/>
    <row r="664" ht="13" hidden="1" x14ac:dyDescent="0.6"/>
    <row r="665" ht="13" hidden="1" x14ac:dyDescent="0.6"/>
    <row r="666" ht="13" hidden="1" x14ac:dyDescent="0.6"/>
    <row r="667" ht="13" hidden="1" x14ac:dyDescent="0.6"/>
    <row r="668" ht="13" hidden="1" x14ac:dyDescent="0.6"/>
    <row r="669" ht="13" hidden="1" x14ac:dyDescent="0.6"/>
    <row r="670" ht="13" hidden="1" x14ac:dyDescent="0.6"/>
    <row r="671" ht="13" hidden="1" x14ac:dyDescent="0.6"/>
    <row r="672" ht="13" hidden="1" x14ac:dyDescent="0.6"/>
    <row r="673" ht="13" hidden="1" x14ac:dyDescent="0.6"/>
    <row r="674" ht="13" hidden="1" x14ac:dyDescent="0.6"/>
    <row r="675" ht="13" hidden="1" x14ac:dyDescent="0.6"/>
    <row r="676" ht="13" hidden="1" x14ac:dyDescent="0.6"/>
    <row r="677" ht="13" hidden="1" x14ac:dyDescent="0.6"/>
    <row r="678" ht="13" hidden="1" x14ac:dyDescent="0.6"/>
    <row r="679" ht="13" hidden="1" x14ac:dyDescent="0.6"/>
    <row r="680" ht="13" hidden="1" x14ac:dyDescent="0.6"/>
    <row r="681" ht="13" hidden="1" x14ac:dyDescent="0.6"/>
    <row r="682" ht="13" hidden="1" x14ac:dyDescent="0.6"/>
    <row r="683" ht="13" hidden="1" x14ac:dyDescent="0.6"/>
    <row r="684" ht="13" hidden="1" x14ac:dyDescent="0.6"/>
    <row r="685" ht="13" hidden="1" x14ac:dyDescent="0.6"/>
    <row r="686" ht="13" hidden="1" x14ac:dyDescent="0.6"/>
    <row r="687" ht="13" hidden="1" x14ac:dyDescent="0.6"/>
    <row r="688" ht="13" hidden="1" x14ac:dyDescent="0.6"/>
    <row r="689" ht="13" hidden="1" x14ac:dyDescent="0.6"/>
    <row r="690" ht="13" hidden="1" x14ac:dyDescent="0.6"/>
    <row r="691" ht="13" hidden="1" x14ac:dyDescent="0.6"/>
    <row r="692" ht="13" hidden="1" x14ac:dyDescent="0.6"/>
    <row r="693" ht="13" hidden="1" x14ac:dyDescent="0.6"/>
    <row r="694" ht="13" hidden="1" x14ac:dyDescent="0.6"/>
    <row r="695" ht="13" hidden="1" x14ac:dyDescent="0.6"/>
    <row r="696" ht="13" hidden="1" x14ac:dyDescent="0.6"/>
    <row r="697" ht="13" hidden="1" x14ac:dyDescent="0.6"/>
    <row r="698" ht="13" hidden="1" x14ac:dyDescent="0.6"/>
    <row r="699" ht="13" hidden="1" x14ac:dyDescent="0.6"/>
    <row r="700" ht="13" hidden="1" x14ac:dyDescent="0.6"/>
    <row r="701" ht="13" hidden="1" x14ac:dyDescent="0.6"/>
    <row r="702" ht="13" hidden="1" x14ac:dyDescent="0.6"/>
    <row r="703" ht="13" hidden="1" x14ac:dyDescent="0.6"/>
    <row r="704" ht="13" hidden="1" x14ac:dyDescent="0.6"/>
    <row r="705" ht="13" hidden="1" x14ac:dyDescent="0.6"/>
    <row r="706" ht="13" hidden="1" x14ac:dyDescent="0.6"/>
    <row r="707" ht="13" hidden="1" x14ac:dyDescent="0.6"/>
    <row r="708" ht="13" hidden="1" x14ac:dyDescent="0.6"/>
    <row r="709" ht="13" hidden="1" x14ac:dyDescent="0.6"/>
    <row r="710" ht="13" hidden="1" x14ac:dyDescent="0.6"/>
    <row r="711" ht="13" hidden="1" x14ac:dyDescent="0.6"/>
    <row r="712" ht="13" hidden="1" x14ac:dyDescent="0.6"/>
    <row r="713" ht="13" hidden="1" x14ac:dyDescent="0.6"/>
    <row r="714" ht="13" hidden="1" x14ac:dyDescent="0.6"/>
    <row r="715" ht="13" hidden="1" x14ac:dyDescent="0.6"/>
    <row r="716" ht="13" hidden="1" x14ac:dyDescent="0.6"/>
    <row r="717" ht="13" hidden="1" x14ac:dyDescent="0.6"/>
    <row r="718" ht="13" hidden="1" x14ac:dyDescent="0.6"/>
    <row r="719" ht="13" hidden="1" x14ac:dyDescent="0.6"/>
    <row r="720" ht="13" hidden="1" x14ac:dyDescent="0.6"/>
    <row r="721" ht="13" hidden="1" x14ac:dyDescent="0.6"/>
    <row r="722" ht="13" hidden="1" x14ac:dyDescent="0.6"/>
    <row r="723" ht="13" hidden="1" x14ac:dyDescent="0.6"/>
    <row r="724" ht="13" hidden="1" x14ac:dyDescent="0.6"/>
    <row r="725" ht="13" hidden="1" x14ac:dyDescent="0.6"/>
    <row r="726" ht="13" hidden="1" x14ac:dyDescent="0.6"/>
    <row r="727" ht="13" hidden="1" x14ac:dyDescent="0.6"/>
    <row r="728" ht="13" hidden="1" x14ac:dyDescent="0.6"/>
    <row r="729" ht="13" hidden="1" x14ac:dyDescent="0.6"/>
    <row r="730" ht="13" hidden="1" x14ac:dyDescent="0.6"/>
    <row r="731" ht="13" hidden="1" x14ac:dyDescent="0.6"/>
    <row r="732" ht="13" hidden="1" x14ac:dyDescent="0.6"/>
    <row r="733" ht="13" hidden="1" x14ac:dyDescent="0.6"/>
    <row r="734" ht="13" hidden="1" x14ac:dyDescent="0.6"/>
    <row r="735" ht="13" hidden="1" x14ac:dyDescent="0.6"/>
    <row r="736" ht="13" hidden="1" x14ac:dyDescent="0.6"/>
    <row r="737" ht="13" hidden="1" x14ac:dyDescent="0.6"/>
    <row r="738" ht="13" hidden="1" x14ac:dyDescent="0.6"/>
    <row r="739" ht="13" hidden="1" x14ac:dyDescent="0.6"/>
    <row r="740" ht="13" hidden="1" x14ac:dyDescent="0.6"/>
    <row r="741" ht="13" hidden="1" x14ac:dyDescent="0.6"/>
    <row r="742" ht="13" hidden="1" x14ac:dyDescent="0.6"/>
    <row r="743" ht="13" hidden="1" x14ac:dyDescent="0.6"/>
    <row r="744" ht="13" hidden="1" x14ac:dyDescent="0.6"/>
    <row r="745" ht="13" hidden="1" x14ac:dyDescent="0.6"/>
    <row r="746" ht="13" hidden="1" x14ac:dyDescent="0.6"/>
    <row r="747" ht="13" hidden="1" x14ac:dyDescent="0.6"/>
    <row r="748" ht="13" hidden="1" x14ac:dyDescent="0.6"/>
    <row r="749" ht="13" hidden="1" x14ac:dyDescent="0.6"/>
    <row r="750" ht="13" hidden="1" x14ac:dyDescent="0.6"/>
    <row r="751" ht="13" hidden="1" x14ac:dyDescent="0.6"/>
    <row r="752" ht="13" hidden="1" x14ac:dyDescent="0.6"/>
    <row r="753" ht="13" hidden="1" x14ac:dyDescent="0.6"/>
    <row r="754" ht="13" hidden="1" x14ac:dyDescent="0.6"/>
    <row r="755" ht="13" hidden="1" x14ac:dyDescent="0.6"/>
    <row r="756" ht="13" hidden="1" x14ac:dyDescent="0.6"/>
    <row r="757" ht="13" hidden="1" x14ac:dyDescent="0.6"/>
    <row r="758" ht="13" hidden="1" x14ac:dyDescent="0.6"/>
    <row r="759" ht="13" hidden="1" x14ac:dyDescent="0.6"/>
    <row r="760" ht="13" hidden="1" x14ac:dyDescent="0.6"/>
    <row r="761" ht="13" hidden="1" x14ac:dyDescent="0.6"/>
    <row r="762" ht="13" hidden="1" x14ac:dyDescent="0.6"/>
    <row r="763" ht="13" hidden="1" x14ac:dyDescent="0.6"/>
    <row r="764" ht="13" hidden="1" x14ac:dyDescent="0.6"/>
    <row r="765" ht="13" hidden="1" x14ac:dyDescent="0.6"/>
    <row r="766" ht="13" hidden="1" x14ac:dyDescent="0.6"/>
    <row r="767" ht="13" hidden="1" x14ac:dyDescent="0.6"/>
    <row r="768" ht="13" hidden="1" x14ac:dyDescent="0.6"/>
    <row r="769" ht="13" hidden="1" x14ac:dyDescent="0.6"/>
    <row r="770" ht="13" hidden="1" x14ac:dyDescent="0.6"/>
    <row r="771" ht="13" hidden="1" x14ac:dyDescent="0.6"/>
    <row r="772" ht="13" hidden="1" x14ac:dyDescent="0.6"/>
    <row r="773" ht="13" hidden="1" x14ac:dyDescent="0.6"/>
    <row r="774" ht="13" hidden="1" x14ac:dyDescent="0.6"/>
    <row r="775" ht="13" hidden="1" x14ac:dyDescent="0.6"/>
    <row r="776" ht="13" hidden="1" x14ac:dyDescent="0.6"/>
    <row r="777" ht="13" hidden="1" x14ac:dyDescent="0.6"/>
    <row r="778" ht="13" hidden="1" x14ac:dyDescent="0.6"/>
    <row r="779" ht="13" hidden="1" x14ac:dyDescent="0.6"/>
    <row r="780" ht="13" hidden="1" x14ac:dyDescent="0.6"/>
    <row r="781" ht="13" hidden="1" x14ac:dyDescent="0.6"/>
    <row r="782" ht="13" hidden="1" x14ac:dyDescent="0.6"/>
    <row r="783" ht="13" hidden="1" x14ac:dyDescent="0.6"/>
    <row r="784" ht="13" hidden="1" x14ac:dyDescent="0.6"/>
    <row r="785" ht="13" hidden="1" x14ac:dyDescent="0.6"/>
    <row r="786" ht="13" hidden="1" x14ac:dyDescent="0.6"/>
    <row r="787" ht="13" hidden="1" x14ac:dyDescent="0.6"/>
    <row r="788" ht="13" hidden="1" x14ac:dyDescent="0.6"/>
    <row r="789" ht="13" hidden="1" x14ac:dyDescent="0.6"/>
    <row r="790" ht="13" hidden="1" x14ac:dyDescent="0.6"/>
    <row r="791" ht="13" hidden="1" x14ac:dyDescent="0.6"/>
    <row r="792" ht="13" hidden="1" x14ac:dyDescent="0.6"/>
    <row r="793" ht="13" hidden="1" x14ac:dyDescent="0.6"/>
    <row r="794" ht="13" hidden="1" x14ac:dyDescent="0.6"/>
    <row r="795" ht="13" hidden="1" x14ac:dyDescent="0.6"/>
    <row r="796" ht="13" hidden="1" x14ac:dyDescent="0.6"/>
    <row r="797" ht="13" hidden="1" x14ac:dyDescent="0.6"/>
    <row r="798" ht="13" hidden="1" x14ac:dyDescent="0.6"/>
    <row r="799" ht="13" hidden="1" x14ac:dyDescent="0.6"/>
    <row r="800" ht="13" hidden="1" x14ac:dyDescent="0.6"/>
    <row r="801" ht="13" hidden="1" x14ac:dyDescent="0.6"/>
    <row r="802" ht="13" hidden="1" x14ac:dyDescent="0.6"/>
    <row r="803" ht="13" hidden="1" x14ac:dyDescent="0.6"/>
    <row r="804" ht="13" hidden="1" x14ac:dyDescent="0.6"/>
    <row r="805" ht="13" hidden="1" x14ac:dyDescent="0.6"/>
    <row r="806" ht="13" hidden="1" x14ac:dyDescent="0.6"/>
    <row r="807" ht="13" hidden="1" x14ac:dyDescent="0.6"/>
    <row r="808" ht="13" hidden="1" x14ac:dyDescent="0.6"/>
    <row r="809" ht="13" hidden="1" x14ac:dyDescent="0.6"/>
    <row r="810" ht="13" hidden="1" x14ac:dyDescent="0.6"/>
    <row r="811" ht="13" hidden="1" x14ac:dyDescent="0.6"/>
    <row r="812" ht="13" hidden="1" x14ac:dyDescent="0.6"/>
    <row r="813" ht="13" hidden="1" x14ac:dyDescent="0.6"/>
    <row r="814" ht="13" hidden="1" x14ac:dyDescent="0.6"/>
    <row r="815" ht="13" hidden="1" x14ac:dyDescent="0.6"/>
    <row r="816" ht="13" hidden="1" x14ac:dyDescent="0.6"/>
    <row r="817" ht="13" hidden="1" x14ac:dyDescent="0.6"/>
    <row r="818" ht="13" hidden="1" x14ac:dyDescent="0.6"/>
    <row r="819" ht="13" hidden="1" x14ac:dyDescent="0.6"/>
    <row r="820" ht="13" hidden="1" x14ac:dyDescent="0.6"/>
    <row r="821" ht="13" hidden="1" x14ac:dyDescent="0.6"/>
    <row r="822" ht="13" hidden="1" x14ac:dyDescent="0.6"/>
    <row r="823" ht="13" hidden="1" x14ac:dyDescent="0.6"/>
    <row r="824" ht="13" hidden="1" x14ac:dyDescent="0.6"/>
    <row r="825" ht="13" hidden="1" x14ac:dyDescent="0.6"/>
    <row r="826" ht="13" hidden="1" x14ac:dyDescent="0.6"/>
    <row r="827" ht="13" hidden="1" x14ac:dyDescent="0.6"/>
    <row r="828" ht="13" hidden="1" x14ac:dyDescent="0.6"/>
    <row r="829" ht="13" hidden="1" x14ac:dyDescent="0.6"/>
    <row r="830" ht="13" hidden="1" x14ac:dyDescent="0.6"/>
    <row r="831" ht="13" hidden="1" x14ac:dyDescent="0.6"/>
    <row r="832" ht="13" hidden="1" x14ac:dyDescent="0.6"/>
    <row r="833" ht="13" hidden="1" x14ac:dyDescent="0.6"/>
    <row r="834" ht="13" hidden="1" x14ac:dyDescent="0.6"/>
    <row r="835" ht="13" hidden="1" x14ac:dyDescent="0.6"/>
    <row r="836" ht="13" hidden="1" x14ac:dyDescent="0.6"/>
    <row r="837" ht="13" hidden="1" x14ac:dyDescent="0.6"/>
    <row r="838" ht="13" hidden="1" x14ac:dyDescent="0.6"/>
    <row r="839" ht="13" hidden="1" x14ac:dyDescent="0.6"/>
    <row r="840" ht="13" hidden="1" x14ac:dyDescent="0.6"/>
    <row r="841" ht="13" hidden="1" x14ac:dyDescent="0.6"/>
    <row r="842" ht="13" hidden="1" x14ac:dyDescent="0.6"/>
    <row r="843" ht="13" hidden="1" x14ac:dyDescent="0.6"/>
    <row r="844" ht="13" hidden="1" x14ac:dyDescent="0.6"/>
    <row r="845" ht="13" hidden="1" x14ac:dyDescent="0.6"/>
    <row r="846" ht="13" hidden="1" x14ac:dyDescent="0.6"/>
    <row r="847" ht="13" hidden="1" x14ac:dyDescent="0.6"/>
    <row r="848" ht="13" hidden="1" x14ac:dyDescent="0.6"/>
    <row r="849" ht="13" hidden="1" x14ac:dyDescent="0.6"/>
    <row r="850" ht="13" hidden="1" x14ac:dyDescent="0.6"/>
    <row r="851" ht="13" hidden="1" x14ac:dyDescent="0.6"/>
    <row r="852" ht="13" hidden="1" x14ac:dyDescent="0.6"/>
    <row r="853" ht="13" hidden="1" x14ac:dyDescent="0.6"/>
    <row r="854" ht="13" hidden="1" x14ac:dyDescent="0.6"/>
    <row r="855" ht="13" hidden="1" x14ac:dyDescent="0.6"/>
    <row r="856" ht="13" hidden="1" x14ac:dyDescent="0.6"/>
    <row r="857" ht="13" hidden="1" x14ac:dyDescent="0.6"/>
    <row r="858" ht="13" hidden="1" x14ac:dyDescent="0.6"/>
    <row r="859" ht="13" hidden="1" x14ac:dyDescent="0.6"/>
    <row r="860" ht="13" hidden="1" x14ac:dyDescent="0.6"/>
    <row r="861" ht="13" hidden="1" x14ac:dyDescent="0.6"/>
    <row r="862" ht="13" hidden="1" x14ac:dyDescent="0.6"/>
    <row r="863" ht="13" hidden="1" x14ac:dyDescent="0.6"/>
    <row r="864" ht="13" hidden="1" x14ac:dyDescent="0.6"/>
    <row r="865" ht="13" hidden="1" x14ac:dyDescent="0.6"/>
    <row r="866" ht="13" hidden="1" x14ac:dyDescent="0.6"/>
    <row r="867" ht="13" hidden="1" x14ac:dyDescent="0.6"/>
    <row r="868" ht="13" hidden="1" x14ac:dyDescent="0.6"/>
    <row r="869" ht="13" hidden="1" x14ac:dyDescent="0.6"/>
    <row r="870" ht="13" hidden="1" x14ac:dyDescent="0.6"/>
    <row r="871" ht="13" hidden="1" x14ac:dyDescent="0.6"/>
    <row r="872" ht="13" hidden="1" x14ac:dyDescent="0.6"/>
    <row r="873" ht="13" hidden="1" x14ac:dyDescent="0.6"/>
    <row r="874" ht="13" hidden="1" x14ac:dyDescent="0.6"/>
    <row r="875" ht="13" hidden="1" x14ac:dyDescent="0.6"/>
    <row r="876" ht="13" hidden="1" x14ac:dyDescent="0.6"/>
    <row r="877" ht="13" hidden="1" x14ac:dyDescent="0.6"/>
    <row r="878" ht="13" hidden="1" x14ac:dyDescent="0.6"/>
    <row r="879" ht="13" hidden="1" x14ac:dyDescent="0.6"/>
    <row r="880" ht="13" hidden="1" x14ac:dyDescent="0.6"/>
    <row r="881" ht="13" hidden="1" x14ac:dyDescent="0.6"/>
    <row r="882" ht="13" hidden="1" x14ac:dyDescent="0.6"/>
    <row r="883" ht="13" hidden="1" x14ac:dyDescent="0.6"/>
    <row r="884" ht="13" hidden="1" x14ac:dyDescent="0.6"/>
    <row r="885" ht="13" hidden="1" x14ac:dyDescent="0.6"/>
    <row r="886" ht="13" hidden="1" x14ac:dyDescent="0.6"/>
    <row r="887" ht="13" hidden="1" x14ac:dyDescent="0.6"/>
    <row r="888" ht="13" hidden="1" x14ac:dyDescent="0.6"/>
    <row r="889" ht="13" hidden="1" x14ac:dyDescent="0.6"/>
    <row r="890" ht="13" hidden="1" x14ac:dyDescent="0.6"/>
    <row r="891" ht="13" hidden="1" x14ac:dyDescent="0.6"/>
    <row r="892" ht="13" hidden="1" x14ac:dyDescent="0.6"/>
    <row r="893" ht="13" hidden="1" x14ac:dyDescent="0.6"/>
    <row r="894" ht="13" hidden="1" x14ac:dyDescent="0.6"/>
    <row r="895" ht="13" hidden="1" x14ac:dyDescent="0.6"/>
    <row r="896" ht="13" hidden="1" x14ac:dyDescent="0.6"/>
    <row r="897" ht="13" hidden="1" x14ac:dyDescent="0.6"/>
    <row r="898" ht="13" hidden="1" x14ac:dyDescent="0.6"/>
    <row r="899" ht="13" hidden="1" x14ac:dyDescent="0.6"/>
    <row r="900" ht="13" hidden="1" x14ac:dyDescent="0.6"/>
    <row r="901" ht="13" hidden="1" x14ac:dyDescent="0.6"/>
    <row r="902" ht="13" hidden="1" x14ac:dyDescent="0.6"/>
    <row r="903" ht="13" hidden="1" x14ac:dyDescent="0.6"/>
    <row r="904" ht="13" hidden="1" x14ac:dyDescent="0.6"/>
    <row r="905" ht="13" hidden="1" x14ac:dyDescent="0.6"/>
    <row r="906" ht="13" hidden="1" x14ac:dyDescent="0.6"/>
    <row r="907" ht="13" hidden="1" x14ac:dyDescent="0.6"/>
    <row r="908" ht="13" hidden="1" x14ac:dyDescent="0.6"/>
    <row r="909" ht="13" hidden="1" x14ac:dyDescent="0.6"/>
    <row r="910" ht="13" hidden="1" x14ac:dyDescent="0.6"/>
    <row r="911" ht="13" hidden="1" x14ac:dyDescent="0.6"/>
    <row r="912" ht="13" hidden="1" x14ac:dyDescent="0.6"/>
    <row r="913" ht="13" hidden="1" x14ac:dyDescent="0.6"/>
    <row r="914" ht="13" hidden="1" x14ac:dyDescent="0.6"/>
    <row r="915" ht="13" hidden="1" x14ac:dyDescent="0.6"/>
    <row r="916" ht="13" hidden="1" x14ac:dyDescent="0.6"/>
    <row r="917" ht="13" hidden="1" x14ac:dyDescent="0.6"/>
    <row r="918" ht="13" hidden="1" x14ac:dyDescent="0.6"/>
    <row r="919" ht="13" hidden="1" x14ac:dyDescent="0.6"/>
    <row r="920" ht="13" hidden="1" x14ac:dyDescent="0.6"/>
    <row r="921" ht="13" hidden="1" x14ac:dyDescent="0.6"/>
    <row r="922" ht="13" hidden="1" x14ac:dyDescent="0.6"/>
    <row r="923" ht="13" hidden="1" x14ac:dyDescent="0.6"/>
    <row r="924" ht="13" hidden="1" x14ac:dyDescent="0.6"/>
    <row r="925" ht="13" hidden="1" x14ac:dyDescent="0.6"/>
    <row r="926" ht="13" hidden="1" x14ac:dyDescent="0.6"/>
    <row r="927" ht="13" hidden="1" x14ac:dyDescent="0.6"/>
    <row r="928" ht="13" hidden="1" x14ac:dyDescent="0.6"/>
    <row r="929" ht="13" hidden="1" x14ac:dyDescent="0.6"/>
    <row r="930" ht="13" hidden="1" x14ac:dyDescent="0.6"/>
    <row r="931" ht="13" hidden="1" x14ac:dyDescent="0.6"/>
    <row r="932" ht="13" hidden="1" x14ac:dyDescent="0.6"/>
    <row r="933" ht="13" hidden="1" x14ac:dyDescent="0.6"/>
    <row r="934" ht="13" hidden="1" x14ac:dyDescent="0.6"/>
    <row r="935" ht="13" hidden="1" x14ac:dyDescent="0.6"/>
    <row r="936" ht="13" hidden="1" x14ac:dyDescent="0.6"/>
    <row r="937" ht="13" hidden="1" x14ac:dyDescent="0.6"/>
    <row r="938" ht="13" hidden="1" x14ac:dyDescent="0.6"/>
    <row r="939" ht="13" hidden="1" x14ac:dyDescent="0.6"/>
    <row r="940" ht="13" hidden="1" x14ac:dyDescent="0.6"/>
    <row r="941" ht="13" hidden="1" x14ac:dyDescent="0.6"/>
    <row r="942" ht="13" hidden="1" x14ac:dyDescent="0.6"/>
    <row r="943" ht="13" hidden="1" x14ac:dyDescent="0.6"/>
    <row r="944" ht="13" hidden="1" x14ac:dyDescent="0.6"/>
    <row r="945" ht="13" hidden="1" x14ac:dyDescent="0.6"/>
    <row r="946" ht="13" hidden="1" x14ac:dyDescent="0.6"/>
    <row r="947" ht="13" hidden="1" x14ac:dyDescent="0.6"/>
    <row r="948" ht="13" hidden="1" x14ac:dyDescent="0.6"/>
    <row r="949" ht="13" hidden="1" x14ac:dyDescent="0.6"/>
    <row r="950" ht="13" hidden="1" x14ac:dyDescent="0.6"/>
    <row r="951" ht="13" hidden="1" x14ac:dyDescent="0.6"/>
    <row r="952" ht="13" hidden="1" x14ac:dyDescent="0.6"/>
    <row r="953" ht="13" hidden="1" x14ac:dyDescent="0.6"/>
    <row r="954" ht="13" hidden="1" x14ac:dyDescent="0.6"/>
    <row r="955" ht="13" hidden="1" x14ac:dyDescent="0.6"/>
    <row r="956" ht="13" hidden="1" x14ac:dyDescent="0.6"/>
    <row r="957" ht="13" hidden="1" x14ac:dyDescent="0.6"/>
    <row r="958" ht="13" hidden="1" x14ac:dyDescent="0.6"/>
    <row r="959" ht="13" hidden="1" x14ac:dyDescent="0.6"/>
    <row r="960" ht="13" hidden="1" x14ac:dyDescent="0.6"/>
    <row r="961" ht="13" hidden="1" x14ac:dyDescent="0.6"/>
    <row r="962" ht="13" hidden="1" x14ac:dyDescent="0.6"/>
    <row r="963" ht="13" hidden="1" x14ac:dyDescent="0.6"/>
    <row r="964" ht="13" hidden="1" x14ac:dyDescent="0.6"/>
    <row r="965" ht="13" hidden="1" x14ac:dyDescent="0.6"/>
    <row r="966" ht="13" hidden="1" x14ac:dyDescent="0.6"/>
    <row r="967" ht="13" hidden="1" x14ac:dyDescent="0.6"/>
    <row r="968" ht="13" hidden="1" x14ac:dyDescent="0.6"/>
    <row r="969" ht="13" hidden="1" x14ac:dyDescent="0.6"/>
    <row r="970" ht="13" hidden="1" x14ac:dyDescent="0.6"/>
    <row r="971" ht="13" hidden="1" x14ac:dyDescent="0.6"/>
    <row r="972" ht="13" hidden="1" x14ac:dyDescent="0.6"/>
    <row r="973" ht="13" hidden="1" x14ac:dyDescent="0.6"/>
    <row r="974" ht="13" hidden="1" x14ac:dyDescent="0.6"/>
    <row r="975" ht="13" hidden="1" x14ac:dyDescent="0.6"/>
    <row r="976" ht="13" hidden="1" x14ac:dyDescent="0.6"/>
    <row r="977" ht="13" hidden="1" x14ac:dyDescent="0.6"/>
    <row r="978" ht="13" hidden="1" x14ac:dyDescent="0.6"/>
    <row r="979" ht="13" hidden="1" x14ac:dyDescent="0.6"/>
    <row r="980" ht="13" hidden="1" x14ac:dyDescent="0.6"/>
    <row r="981" ht="13" hidden="1" x14ac:dyDescent="0.6"/>
    <row r="982" ht="13" hidden="1" x14ac:dyDescent="0.6"/>
    <row r="983" ht="13" hidden="1" x14ac:dyDescent="0.6"/>
    <row r="984" ht="13" hidden="1" x14ac:dyDescent="0.6"/>
    <row r="985" ht="13" hidden="1" x14ac:dyDescent="0.6"/>
    <row r="986" ht="13" hidden="1" x14ac:dyDescent="0.6"/>
    <row r="987" ht="13" hidden="1" x14ac:dyDescent="0.6"/>
    <row r="988" ht="13" hidden="1" x14ac:dyDescent="0.6"/>
    <row r="989" ht="13" hidden="1" x14ac:dyDescent="0.6"/>
    <row r="990" ht="13" hidden="1" x14ac:dyDescent="0.6"/>
    <row r="991" ht="13" hidden="1" x14ac:dyDescent="0.6"/>
    <row r="992" ht="13" hidden="1" x14ac:dyDescent="0.6"/>
    <row r="993" ht="13" hidden="1" x14ac:dyDescent="0.6"/>
    <row r="994" ht="13" hidden="1" x14ac:dyDescent="0.6"/>
    <row r="995" ht="13" hidden="1" x14ac:dyDescent="0.6"/>
    <row r="996" ht="13" hidden="1" x14ac:dyDescent="0.6"/>
    <row r="997" ht="13" hidden="1" x14ac:dyDescent="0.6"/>
    <row r="998" ht="13" hidden="1" x14ac:dyDescent="0.6"/>
    <row r="999" ht="13" hidden="1" x14ac:dyDescent="0.6"/>
    <row r="1000" ht="13" hidden="1" x14ac:dyDescent="0.6"/>
  </sheetData>
  <autoFilter ref="K1:K1000" xr:uid="{00000000-0001-0000-0000-000000000000}">
    <filterColumn colId="0">
      <filters>
        <filter val="OK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FE7B-964F-49B4-A15F-3E80D9B62A46}">
  <dimension ref="A1:L365"/>
  <sheetViews>
    <sheetView workbookViewId="0">
      <selection sqref="A1:XFD1048576"/>
    </sheetView>
  </sheetViews>
  <sheetFormatPr defaultRowHeight="13" x14ac:dyDescent="0.6"/>
  <cols>
    <col min="1" max="16384" width="8.7265625" style="3"/>
  </cols>
  <sheetData>
    <row r="1" spans="1:12" x14ac:dyDescent="0.6">
      <c r="A1" s="3" t="s">
        <v>0</v>
      </c>
      <c r="B1" s="3" t="s">
        <v>386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  <c r="H1" s="3" t="s">
        <v>392</v>
      </c>
      <c r="I1" s="3" t="s">
        <v>393</v>
      </c>
      <c r="J1" s="3" t="s">
        <v>394</v>
      </c>
      <c r="K1" s="3" t="s">
        <v>395</v>
      </c>
      <c r="L1" s="3" t="s">
        <v>396</v>
      </c>
    </row>
    <row r="2" spans="1:12" x14ac:dyDescent="0.6">
      <c r="A2" s="3" t="s">
        <v>382</v>
      </c>
      <c r="B2" s="3" t="s">
        <v>11</v>
      </c>
      <c r="C2" s="3" t="s">
        <v>397</v>
      </c>
      <c r="D2" s="3">
        <v>43.688360000000003</v>
      </c>
      <c r="E2" s="3">
        <v>-92.92859</v>
      </c>
      <c r="F2" s="3" t="s">
        <v>398</v>
      </c>
      <c r="G2" s="3" t="s">
        <v>399</v>
      </c>
      <c r="H2" s="3" t="s">
        <v>400</v>
      </c>
      <c r="I2" s="3" t="s">
        <v>401</v>
      </c>
      <c r="J2" s="3" t="s">
        <v>402</v>
      </c>
      <c r="K2" s="3" t="s">
        <v>403</v>
      </c>
      <c r="L2" s="4">
        <v>42973</v>
      </c>
    </row>
    <row r="3" spans="1:12" x14ac:dyDescent="0.6">
      <c r="A3" s="3" t="s">
        <v>380</v>
      </c>
      <c r="B3" s="3" t="s">
        <v>11</v>
      </c>
      <c r="C3" s="3" t="s">
        <v>397</v>
      </c>
      <c r="D3" s="3">
        <v>43.684809999999999</v>
      </c>
      <c r="E3" s="3">
        <v>-92.926959999999994</v>
      </c>
      <c r="F3" s="3" t="s">
        <v>398</v>
      </c>
      <c r="G3" s="3" t="s">
        <v>404</v>
      </c>
      <c r="H3" s="3" t="s">
        <v>400</v>
      </c>
      <c r="I3" s="3" t="s">
        <v>401</v>
      </c>
      <c r="J3" s="3" t="s">
        <v>402</v>
      </c>
      <c r="K3" s="3" t="s">
        <v>405</v>
      </c>
      <c r="L3" s="4">
        <v>42973</v>
      </c>
    </row>
    <row r="4" spans="1:12" x14ac:dyDescent="0.6">
      <c r="A4" s="3" t="s">
        <v>385</v>
      </c>
      <c r="B4" s="3" t="s">
        <v>11</v>
      </c>
      <c r="C4" s="3" t="s">
        <v>397</v>
      </c>
      <c r="D4" s="3">
        <v>43.677</v>
      </c>
      <c r="E4" s="3">
        <v>-92.937690000000003</v>
      </c>
      <c r="F4" s="3" t="s">
        <v>398</v>
      </c>
      <c r="G4" s="3" t="s">
        <v>406</v>
      </c>
      <c r="H4" s="3" t="s">
        <v>400</v>
      </c>
      <c r="I4" s="3" t="s">
        <v>401</v>
      </c>
      <c r="J4" s="3" t="s">
        <v>402</v>
      </c>
      <c r="K4" s="3" t="s">
        <v>407</v>
      </c>
      <c r="L4" s="4">
        <v>42971</v>
      </c>
    </row>
    <row r="5" spans="1:12" x14ac:dyDescent="0.6">
      <c r="A5" s="3" t="s">
        <v>374</v>
      </c>
      <c r="B5" s="3" t="s">
        <v>11</v>
      </c>
      <c r="C5" s="3" t="s">
        <v>397</v>
      </c>
      <c r="D5" s="3">
        <v>42.041409999999999</v>
      </c>
      <c r="E5" s="3">
        <v>-93.678679000000002</v>
      </c>
      <c r="F5" s="3" t="s">
        <v>408</v>
      </c>
      <c r="G5" s="3" t="s">
        <v>409</v>
      </c>
      <c r="H5" s="3" t="s">
        <v>400</v>
      </c>
      <c r="I5" s="3" t="s">
        <v>410</v>
      </c>
      <c r="J5" s="3" t="s">
        <v>402</v>
      </c>
      <c r="K5" s="3" t="s">
        <v>411</v>
      </c>
      <c r="L5" s="4">
        <v>42983</v>
      </c>
    </row>
    <row r="6" spans="1:12" x14ac:dyDescent="0.6">
      <c r="A6" s="3" t="s">
        <v>375</v>
      </c>
      <c r="B6" s="3" t="s">
        <v>11</v>
      </c>
      <c r="C6" s="3" t="s">
        <v>397</v>
      </c>
      <c r="D6" s="3">
        <v>42.049532999999997</v>
      </c>
      <c r="E6" s="3">
        <v>-93.679051999999999</v>
      </c>
      <c r="F6" s="3" t="s">
        <v>408</v>
      </c>
      <c r="G6" s="3" t="s">
        <v>412</v>
      </c>
      <c r="H6" s="3" t="s">
        <v>400</v>
      </c>
      <c r="I6" s="3" t="s">
        <v>410</v>
      </c>
      <c r="J6" s="3" t="s">
        <v>402</v>
      </c>
      <c r="K6" s="3" t="s">
        <v>413</v>
      </c>
      <c r="L6" s="4">
        <v>42979</v>
      </c>
    </row>
    <row r="7" spans="1:12" x14ac:dyDescent="0.6">
      <c r="A7" s="3" t="s">
        <v>377</v>
      </c>
      <c r="B7" s="3" t="s">
        <v>11</v>
      </c>
      <c r="C7" s="3" t="s">
        <v>397</v>
      </c>
      <c r="D7" s="3">
        <v>42.030898000000001</v>
      </c>
      <c r="E7" s="3">
        <v>-93.632418000000001</v>
      </c>
      <c r="F7" s="3" t="s">
        <v>408</v>
      </c>
      <c r="G7" s="3" t="s">
        <v>414</v>
      </c>
      <c r="H7" s="3" t="s">
        <v>400</v>
      </c>
      <c r="I7" s="3" t="s">
        <v>410</v>
      </c>
      <c r="J7" s="3" t="s">
        <v>402</v>
      </c>
      <c r="K7" s="3" t="s">
        <v>415</v>
      </c>
      <c r="L7" s="4">
        <v>42979</v>
      </c>
    </row>
    <row r="8" spans="1:12" x14ac:dyDescent="0.6">
      <c r="A8" s="3" t="s">
        <v>378</v>
      </c>
      <c r="B8" s="3" t="s">
        <v>11</v>
      </c>
      <c r="C8" s="3" t="s">
        <v>397</v>
      </c>
      <c r="D8" s="3">
        <v>42.023609</v>
      </c>
      <c r="E8" s="3">
        <v>-93.633087000000003</v>
      </c>
      <c r="F8" s="3" t="s">
        <v>408</v>
      </c>
      <c r="G8" s="3" t="s">
        <v>416</v>
      </c>
      <c r="H8" s="3" t="s">
        <v>400</v>
      </c>
      <c r="I8" s="3" t="s">
        <v>410</v>
      </c>
      <c r="J8" s="3" t="s">
        <v>402</v>
      </c>
      <c r="K8" s="3" t="s">
        <v>417</v>
      </c>
      <c r="L8" s="4">
        <v>42979</v>
      </c>
    </row>
    <row r="9" spans="1:12" x14ac:dyDescent="0.6">
      <c r="A9" s="3" t="s">
        <v>371</v>
      </c>
      <c r="B9" s="3" t="s">
        <v>11</v>
      </c>
      <c r="C9" s="3" t="s">
        <v>397</v>
      </c>
      <c r="D9" s="3">
        <v>44.226111099999997</v>
      </c>
      <c r="E9" s="3">
        <v>-93.471943999999993</v>
      </c>
      <c r="F9" s="3" t="s">
        <v>418</v>
      </c>
      <c r="G9" s="3" t="s">
        <v>419</v>
      </c>
      <c r="H9" s="3" t="s">
        <v>400</v>
      </c>
      <c r="I9" s="3" t="s">
        <v>401</v>
      </c>
      <c r="J9" s="3" t="s">
        <v>402</v>
      </c>
      <c r="K9" s="3" t="s">
        <v>420</v>
      </c>
      <c r="L9" s="4">
        <v>42992</v>
      </c>
    </row>
    <row r="10" spans="1:12" x14ac:dyDescent="0.6">
      <c r="A10" s="3" t="s">
        <v>379</v>
      </c>
      <c r="B10" s="3" t="s">
        <v>11</v>
      </c>
      <c r="C10" s="3" t="s">
        <v>421</v>
      </c>
      <c r="D10" s="3" t="s">
        <v>422</v>
      </c>
      <c r="E10" s="3" t="s">
        <v>422</v>
      </c>
      <c r="F10" s="3" t="s">
        <v>422</v>
      </c>
      <c r="G10" s="3" t="s">
        <v>423</v>
      </c>
      <c r="H10" s="3" t="s">
        <v>400</v>
      </c>
      <c r="I10" s="3" t="s">
        <v>401</v>
      </c>
      <c r="J10" s="3" t="s">
        <v>402</v>
      </c>
      <c r="K10" s="3" t="s">
        <v>424</v>
      </c>
      <c r="L10" s="4">
        <v>42973</v>
      </c>
    </row>
    <row r="11" spans="1:12" x14ac:dyDescent="0.6">
      <c r="A11" s="3" t="s">
        <v>372</v>
      </c>
      <c r="B11" s="3" t="s">
        <v>11</v>
      </c>
      <c r="C11" s="3" t="s">
        <v>397</v>
      </c>
      <c r="D11" s="3">
        <v>44.867980000000003</v>
      </c>
      <c r="E11" s="3">
        <v>-93.032030000000006</v>
      </c>
      <c r="F11" s="3" t="s">
        <v>425</v>
      </c>
      <c r="G11" s="3" t="s">
        <v>426</v>
      </c>
      <c r="H11" s="3" t="s">
        <v>400</v>
      </c>
      <c r="I11" s="3" t="s">
        <v>401</v>
      </c>
      <c r="J11" s="3" t="s">
        <v>402</v>
      </c>
      <c r="K11" s="3" t="s">
        <v>427</v>
      </c>
      <c r="L11" s="4">
        <v>42972</v>
      </c>
    </row>
    <row r="12" spans="1:12" x14ac:dyDescent="0.6">
      <c r="A12" s="3" t="s">
        <v>383</v>
      </c>
      <c r="B12" s="3" t="s">
        <v>11</v>
      </c>
      <c r="C12" s="3" t="s">
        <v>397</v>
      </c>
      <c r="D12" s="3">
        <v>43.677</v>
      </c>
      <c r="E12" s="3">
        <v>-92.937690000000003</v>
      </c>
      <c r="F12" s="3" t="s">
        <v>398</v>
      </c>
      <c r="G12" s="3" t="s">
        <v>428</v>
      </c>
      <c r="H12" s="3" t="s">
        <v>400</v>
      </c>
      <c r="I12" s="3" t="s">
        <v>401</v>
      </c>
      <c r="J12" s="3" t="s">
        <v>402</v>
      </c>
      <c r="K12" s="3" t="s">
        <v>429</v>
      </c>
      <c r="L12" s="4">
        <v>42971</v>
      </c>
    </row>
    <row r="13" spans="1:12" x14ac:dyDescent="0.6">
      <c r="A13" s="3" t="s">
        <v>376</v>
      </c>
      <c r="B13" s="3" t="s">
        <v>11</v>
      </c>
      <c r="C13" s="3" t="s">
        <v>397</v>
      </c>
      <c r="D13" s="3">
        <v>42.036203</v>
      </c>
      <c r="E13" s="3">
        <v>-93.639256000000003</v>
      </c>
      <c r="F13" s="3" t="s">
        <v>408</v>
      </c>
      <c r="G13" s="3" t="s">
        <v>430</v>
      </c>
      <c r="H13" s="3" t="s">
        <v>400</v>
      </c>
      <c r="I13" s="3" t="s">
        <v>410</v>
      </c>
      <c r="J13" s="3" t="s">
        <v>402</v>
      </c>
      <c r="K13" s="3" t="s">
        <v>431</v>
      </c>
      <c r="L13" s="4">
        <v>42979</v>
      </c>
    </row>
    <row r="14" spans="1:12" x14ac:dyDescent="0.6">
      <c r="A14" s="3" t="s">
        <v>370</v>
      </c>
      <c r="B14" s="3" t="s">
        <v>11</v>
      </c>
      <c r="C14" s="3" t="s">
        <v>397</v>
      </c>
      <c r="D14" s="3">
        <v>44.224444400000003</v>
      </c>
      <c r="E14" s="3">
        <v>-93.528333000000003</v>
      </c>
      <c r="F14" s="3" t="s">
        <v>418</v>
      </c>
      <c r="G14" s="3" t="s">
        <v>432</v>
      </c>
      <c r="H14" s="3" t="s">
        <v>400</v>
      </c>
      <c r="I14" s="3" t="s">
        <v>401</v>
      </c>
      <c r="J14" s="3" t="s">
        <v>402</v>
      </c>
      <c r="K14" s="3" t="s">
        <v>433</v>
      </c>
      <c r="L14" s="4">
        <v>42992</v>
      </c>
    </row>
    <row r="15" spans="1:12" x14ac:dyDescent="0.6">
      <c r="A15" s="3" t="s">
        <v>381</v>
      </c>
      <c r="B15" s="3" t="s">
        <v>11</v>
      </c>
      <c r="C15" s="3" t="s">
        <v>397</v>
      </c>
      <c r="D15" s="3">
        <v>43.684609999999999</v>
      </c>
      <c r="E15" s="3">
        <v>-92.921340000000001</v>
      </c>
      <c r="F15" s="3" t="s">
        <v>398</v>
      </c>
      <c r="G15" s="3" t="s">
        <v>434</v>
      </c>
      <c r="H15" s="3" t="s">
        <v>400</v>
      </c>
      <c r="I15" s="3" t="s">
        <v>401</v>
      </c>
      <c r="J15" s="3" t="s">
        <v>402</v>
      </c>
      <c r="K15" s="3" t="s">
        <v>435</v>
      </c>
      <c r="L15" s="4">
        <v>42973</v>
      </c>
    </row>
    <row r="16" spans="1:12" x14ac:dyDescent="0.6">
      <c r="A16" s="3" t="s">
        <v>369</v>
      </c>
      <c r="B16" s="3" t="s">
        <v>11</v>
      </c>
      <c r="C16" s="3" t="s">
        <v>397</v>
      </c>
      <c r="D16" s="3">
        <v>45.389530000000001</v>
      </c>
      <c r="E16" s="3">
        <v>-93.194850000000002</v>
      </c>
      <c r="F16" s="3" t="s">
        <v>436</v>
      </c>
      <c r="G16" s="3" t="s">
        <v>437</v>
      </c>
      <c r="H16" s="3" t="s">
        <v>400</v>
      </c>
      <c r="I16" s="3" t="s">
        <v>401</v>
      </c>
      <c r="J16" s="3" t="s">
        <v>402</v>
      </c>
      <c r="K16" s="3" t="s">
        <v>438</v>
      </c>
      <c r="L16" s="4">
        <v>42975</v>
      </c>
    </row>
    <row r="17" spans="1:12" x14ac:dyDescent="0.6">
      <c r="A17" s="3" t="s">
        <v>373</v>
      </c>
      <c r="B17" s="3" t="s">
        <v>11</v>
      </c>
      <c r="C17" s="3" t="s">
        <v>397</v>
      </c>
      <c r="D17" s="3">
        <v>45.4222222</v>
      </c>
      <c r="E17" s="3">
        <v>-93.188056000000003</v>
      </c>
      <c r="F17" s="3" t="s">
        <v>418</v>
      </c>
      <c r="G17" s="3" t="s">
        <v>439</v>
      </c>
      <c r="H17" s="3" t="s">
        <v>400</v>
      </c>
      <c r="I17" s="3" t="s">
        <v>401</v>
      </c>
      <c r="J17" s="3" t="s">
        <v>402</v>
      </c>
      <c r="K17" s="3" t="s">
        <v>440</v>
      </c>
      <c r="L17" s="4">
        <v>42991</v>
      </c>
    </row>
    <row r="18" spans="1:12" x14ac:dyDescent="0.6">
      <c r="A18" s="3" t="s">
        <v>384</v>
      </c>
      <c r="B18" s="3" t="s">
        <v>11</v>
      </c>
      <c r="C18" s="3" t="s">
        <v>397</v>
      </c>
      <c r="D18" s="3">
        <v>43.685310000000001</v>
      </c>
      <c r="E18" s="3">
        <v>-92.922920000000005</v>
      </c>
      <c r="F18" s="3" t="s">
        <v>398</v>
      </c>
      <c r="G18" s="3" t="s">
        <v>441</v>
      </c>
      <c r="H18" s="3" t="s">
        <v>400</v>
      </c>
      <c r="I18" s="3" t="s">
        <v>401</v>
      </c>
      <c r="J18" s="3" t="s">
        <v>402</v>
      </c>
      <c r="K18" s="3" t="s">
        <v>442</v>
      </c>
      <c r="L18" s="4">
        <v>42971</v>
      </c>
    </row>
    <row r="19" spans="1:12" x14ac:dyDescent="0.6">
      <c r="A19" s="3" t="s">
        <v>10</v>
      </c>
      <c r="B19" s="3" t="s">
        <v>11</v>
      </c>
      <c r="C19" s="3" t="s">
        <v>397</v>
      </c>
      <c r="D19" s="3">
        <v>40.990945000000004</v>
      </c>
      <c r="E19" s="3">
        <v>-90.402383999999998</v>
      </c>
      <c r="F19" s="3" t="s">
        <v>443</v>
      </c>
      <c r="G19" s="3" t="s">
        <v>444</v>
      </c>
      <c r="H19" s="3" t="s">
        <v>400</v>
      </c>
      <c r="I19" s="3" t="s">
        <v>445</v>
      </c>
      <c r="J19" s="3" t="s">
        <v>446</v>
      </c>
      <c r="K19" s="3" t="s">
        <v>447</v>
      </c>
      <c r="L19" s="4">
        <v>42187</v>
      </c>
    </row>
    <row r="20" spans="1:12" x14ac:dyDescent="0.6">
      <c r="A20" s="3" t="s">
        <v>13</v>
      </c>
      <c r="B20" s="3" t="s">
        <v>11</v>
      </c>
      <c r="C20" s="3" t="s">
        <v>397</v>
      </c>
      <c r="D20" s="3">
        <v>40.990457399999997</v>
      </c>
      <c r="E20" s="3">
        <v>-90.405752000000007</v>
      </c>
      <c r="F20" s="3" t="s">
        <v>443</v>
      </c>
      <c r="G20" s="3" t="s">
        <v>448</v>
      </c>
      <c r="H20" s="3" t="s">
        <v>400</v>
      </c>
      <c r="I20" s="3" t="s">
        <v>445</v>
      </c>
      <c r="J20" s="3" t="s">
        <v>446</v>
      </c>
      <c r="K20" s="3" t="s">
        <v>449</v>
      </c>
      <c r="L20" s="4">
        <v>42187</v>
      </c>
    </row>
    <row r="21" spans="1:12" x14ac:dyDescent="0.6">
      <c r="A21" s="3" t="s">
        <v>14</v>
      </c>
      <c r="B21" s="3" t="s">
        <v>11</v>
      </c>
      <c r="C21" s="3" t="s">
        <v>397</v>
      </c>
      <c r="D21" s="3">
        <v>40.990457399999997</v>
      </c>
      <c r="E21" s="3">
        <v>-90.405752000000007</v>
      </c>
      <c r="F21" s="3" t="s">
        <v>443</v>
      </c>
      <c r="G21" s="3" t="s">
        <v>450</v>
      </c>
      <c r="H21" s="3" t="s">
        <v>400</v>
      </c>
      <c r="I21" s="3" t="s">
        <v>445</v>
      </c>
      <c r="J21" s="3" t="s">
        <v>446</v>
      </c>
      <c r="K21" s="3" t="s">
        <v>451</v>
      </c>
      <c r="L21" s="4">
        <v>42187</v>
      </c>
    </row>
    <row r="22" spans="1:12" x14ac:dyDescent="0.6">
      <c r="A22" s="3" t="s">
        <v>15</v>
      </c>
      <c r="B22" s="3" t="s">
        <v>11</v>
      </c>
      <c r="C22" s="3" t="s">
        <v>397</v>
      </c>
      <c r="D22" s="3">
        <v>40.990457399999997</v>
      </c>
      <c r="E22" s="3">
        <v>-90.405752000000007</v>
      </c>
      <c r="F22" s="3" t="s">
        <v>443</v>
      </c>
      <c r="G22" s="3" t="s">
        <v>452</v>
      </c>
      <c r="H22" s="3" t="s">
        <v>400</v>
      </c>
      <c r="I22" s="3" t="s">
        <v>445</v>
      </c>
      <c r="J22" s="3" t="s">
        <v>446</v>
      </c>
      <c r="K22" s="3" t="s">
        <v>453</v>
      </c>
      <c r="L22" s="4">
        <v>42187</v>
      </c>
    </row>
    <row r="23" spans="1:12" x14ac:dyDescent="0.6">
      <c r="A23" s="3" t="s">
        <v>16</v>
      </c>
      <c r="B23" s="3" t="s">
        <v>11</v>
      </c>
      <c r="C23" s="3" t="s">
        <v>397</v>
      </c>
      <c r="D23" s="3">
        <v>40.990553499999997</v>
      </c>
      <c r="E23" s="3">
        <v>-90.399816999999999</v>
      </c>
      <c r="F23" s="3" t="s">
        <v>443</v>
      </c>
      <c r="G23" s="3" t="s">
        <v>454</v>
      </c>
      <c r="H23" s="3" t="s">
        <v>400</v>
      </c>
      <c r="I23" s="3" t="s">
        <v>445</v>
      </c>
      <c r="J23" s="3" t="s">
        <v>446</v>
      </c>
      <c r="K23" s="3" t="s">
        <v>455</v>
      </c>
      <c r="L23" s="4">
        <v>42187</v>
      </c>
    </row>
    <row r="24" spans="1:12" x14ac:dyDescent="0.6">
      <c r="A24" s="3" t="s">
        <v>17</v>
      </c>
      <c r="B24" s="3" t="s">
        <v>11</v>
      </c>
      <c r="C24" s="3" t="s">
        <v>397</v>
      </c>
      <c r="D24" s="3">
        <v>40.989198000000002</v>
      </c>
      <c r="E24" s="3">
        <v>-90.398409000000001</v>
      </c>
      <c r="F24" s="3" t="s">
        <v>443</v>
      </c>
      <c r="G24" s="3" t="s">
        <v>456</v>
      </c>
      <c r="H24" s="3" t="s">
        <v>400</v>
      </c>
      <c r="I24" s="3" t="s">
        <v>445</v>
      </c>
      <c r="J24" s="3" t="s">
        <v>446</v>
      </c>
      <c r="K24" s="3" t="s">
        <v>457</v>
      </c>
      <c r="L24" s="4">
        <v>42187</v>
      </c>
    </row>
    <row r="25" spans="1:12" x14ac:dyDescent="0.6">
      <c r="A25" s="3" t="s">
        <v>18</v>
      </c>
      <c r="B25" s="3" t="s">
        <v>11</v>
      </c>
      <c r="C25" s="3" t="s">
        <v>397</v>
      </c>
      <c r="D25" s="3">
        <v>40.988717800000003</v>
      </c>
      <c r="E25" s="3">
        <v>-90.398239000000004</v>
      </c>
      <c r="F25" s="3" t="s">
        <v>443</v>
      </c>
      <c r="G25" s="3" t="s">
        <v>458</v>
      </c>
      <c r="H25" s="3" t="s">
        <v>400</v>
      </c>
      <c r="I25" s="3" t="s">
        <v>445</v>
      </c>
      <c r="J25" s="3" t="s">
        <v>446</v>
      </c>
      <c r="K25" s="3" t="s">
        <v>459</v>
      </c>
      <c r="L25" s="4">
        <v>42187</v>
      </c>
    </row>
    <row r="26" spans="1:12" x14ac:dyDescent="0.6">
      <c r="A26" s="3" t="s">
        <v>21</v>
      </c>
      <c r="B26" s="3" t="s">
        <v>11</v>
      </c>
      <c r="C26" s="3" t="s">
        <v>397</v>
      </c>
      <c r="D26" s="3">
        <v>40.988717800000003</v>
      </c>
      <c r="E26" s="3">
        <v>-90.398239000000004</v>
      </c>
      <c r="F26" s="3" t="s">
        <v>443</v>
      </c>
      <c r="G26" s="3" t="s">
        <v>460</v>
      </c>
      <c r="H26" s="3" t="s">
        <v>400</v>
      </c>
      <c r="I26" s="3" t="s">
        <v>445</v>
      </c>
      <c r="J26" s="3" t="s">
        <v>446</v>
      </c>
      <c r="K26" s="3" t="s">
        <v>461</v>
      </c>
      <c r="L26" s="4">
        <v>42187</v>
      </c>
    </row>
    <row r="27" spans="1:12" x14ac:dyDescent="0.6">
      <c r="A27" s="3" t="s">
        <v>22</v>
      </c>
      <c r="B27" s="3" t="s">
        <v>11</v>
      </c>
      <c r="C27" s="3" t="s">
        <v>397</v>
      </c>
      <c r="D27" s="3">
        <v>40.988717800000003</v>
      </c>
      <c r="E27" s="3">
        <v>-90.398239000000004</v>
      </c>
      <c r="F27" s="3" t="s">
        <v>443</v>
      </c>
      <c r="G27" s="3" t="s">
        <v>462</v>
      </c>
      <c r="H27" s="3" t="s">
        <v>400</v>
      </c>
      <c r="I27" s="3" t="s">
        <v>445</v>
      </c>
      <c r="J27" s="3" t="s">
        <v>446</v>
      </c>
      <c r="K27" s="3" t="s">
        <v>463</v>
      </c>
      <c r="L27" s="4">
        <v>42187</v>
      </c>
    </row>
    <row r="28" spans="1:12" x14ac:dyDescent="0.6">
      <c r="A28" s="3" t="s">
        <v>23</v>
      </c>
      <c r="B28" s="3" t="s">
        <v>11</v>
      </c>
      <c r="C28" s="3" t="s">
        <v>397</v>
      </c>
      <c r="D28" s="3">
        <v>40.987491540000001</v>
      </c>
      <c r="E28" s="3">
        <v>-90.393721999999997</v>
      </c>
      <c r="F28" s="3" t="s">
        <v>443</v>
      </c>
      <c r="G28" s="3" t="s">
        <v>464</v>
      </c>
      <c r="H28" s="3" t="s">
        <v>400</v>
      </c>
      <c r="I28" s="3" t="s">
        <v>445</v>
      </c>
      <c r="J28" s="3" t="s">
        <v>446</v>
      </c>
      <c r="K28" s="3" t="s">
        <v>465</v>
      </c>
      <c r="L28" s="4">
        <v>42188</v>
      </c>
    </row>
    <row r="29" spans="1:12" x14ac:dyDescent="0.6">
      <c r="A29" s="3" t="s">
        <v>24</v>
      </c>
      <c r="B29" s="3" t="s">
        <v>11</v>
      </c>
      <c r="C29" s="3" t="s">
        <v>397</v>
      </c>
      <c r="D29" s="3">
        <v>40.9878018</v>
      </c>
      <c r="E29" s="3">
        <v>-90.393579000000003</v>
      </c>
      <c r="F29" s="3" t="s">
        <v>443</v>
      </c>
      <c r="G29" s="3" t="s">
        <v>466</v>
      </c>
      <c r="H29" s="3" t="s">
        <v>400</v>
      </c>
      <c r="I29" s="3" t="s">
        <v>445</v>
      </c>
      <c r="J29" s="3" t="s">
        <v>446</v>
      </c>
      <c r="K29" s="3" t="s">
        <v>467</v>
      </c>
      <c r="L29" s="4">
        <v>42188</v>
      </c>
    </row>
    <row r="30" spans="1:12" x14ac:dyDescent="0.6">
      <c r="A30" s="3" t="s">
        <v>25</v>
      </c>
      <c r="B30" s="3" t="s">
        <v>11</v>
      </c>
      <c r="C30" s="3" t="s">
        <v>397</v>
      </c>
      <c r="D30" s="3">
        <v>40.987996000000003</v>
      </c>
      <c r="E30" s="3">
        <v>-90.393383999999998</v>
      </c>
      <c r="F30" s="3" t="s">
        <v>443</v>
      </c>
      <c r="G30" s="3" t="s">
        <v>468</v>
      </c>
      <c r="H30" s="3" t="s">
        <v>400</v>
      </c>
      <c r="I30" s="3" t="s">
        <v>445</v>
      </c>
      <c r="J30" s="3" t="s">
        <v>446</v>
      </c>
      <c r="K30" s="3" t="s">
        <v>469</v>
      </c>
      <c r="L30" s="4">
        <v>42188</v>
      </c>
    </row>
    <row r="31" spans="1:12" x14ac:dyDescent="0.6">
      <c r="A31" s="3" t="s">
        <v>26</v>
      </c>
      <c r="B31" s="3" t="s">
        <v>11</v>
      </c>
      <c r="C31" s="3" t="s">
        <v>397</v>
      </c>
      <c r="D31" s="3">
        <v>40.988790000000002</v>
      </c>
      <c r="E31" s="3">
        <v>-90.391842999999994</v>
      </c>
      <c r="F31" s="3" t="s">
        <v>443</v>
      </c>
      <c r="G31" s="3" t="s">
        <v>470</v>
      </c>
      <c r="H31" s="3" t="s">
        <v>400</v>
      </c>
      <c r="I31" s="3" t="s">
        <v>445</v>
      </c>
      <c r="J31" s="3" t="s">
        <v>446</v>
      </c>
      <c r="K31" s="3" t="s">
        <v>471</v>
      </c>
      <c r="L31" s="4">
        <v>42188</v>
      </c>
    </row>
    <row r="32" spans="1:12" x14ac:dyDescent="0.6">
      <c r="A32" s="3" t="s">
        <v>27</v>
      </c>
      <c r="B32" s="3" t="s">
        <v>11</v>
      </c>
      <c r="C32" s="3" t="s">
        <v>397</v>
      </c>
      <c r="D32" s="3">
        <v>40.989898400000001</v>
      </c>
      <c r="E32" s="3">
        <v>-90.384676999999996</v>
      </c>
      <c r="F32" s="3" t="s">
        <v>443</v>
      </c>
      <c r="G32" s="3" t="s">
        <v>472</v>
      </c>
      <c r="H32" s="3" t="s">
        <v>400</v>
      </c>
      <c r="I32" s="3" t="s">
        <v>445</v>
      </c>
      <c r="J32" s="3" t="s">
        <v>446</v>
      </c>
      <c r="K32" s="3" t="s">
        <v>473</v>
      </c>
      <c r="L32" s="4">
        <v>42188</v>
      </c>
    </row>
    <row r="33" spans="1:12" x14ac:dyDescent="0.6">
      <c r="A33" s="3" t="s">
        <v>28</v>
      </c>
      <c r="B33" s="3" t="s">
        <v>29</v>
      </c>
      <c r="C33" s="3" t="s">
        <v>397</v>
      </c>
      <c r="D33" s="3">
        <v>41.787137799999996</v>
      </c>
      <c r="E33" s="3">
        <v>-88.272994999999995</v>
      </c>
      <c r="F33" s="3" t="s">
        <v>474</v>
      </c>
      <c r="G33" s="3" t="s">
        <v>475</v>
      </c>
      <c r="H33" s="3" t="s">
        <v>400</v>
      </c>
      <c r="I33" s="3" t="s">
        <v>445</v>
      </c>
      <c r="J33" s="3" t="s">
        <v>446</v>
      </c>
      <c r="K33" s="3" t="s">
        <v>476</v>
      </c>
      <c r="L33" s="4">
        <v>42208</v>
      </c>
    </row>
    <row r="34" spans="1:12" x14ac:dyDescent="0.6">
      <c r="A34" s="3" t="s">
        <v>30</v>
      </c>
      <c r="B34" s="3" t="s">
        <v>29</v>
      </c>
      <c r="C34" s="3" t="s">
        <v>397</v>
      </c>
      <c r="D34" s="3">
        <v>41.787137799999996</v>
      </c>
      <c r="E34" s="3">
        <v>-88.272994999999995</v>
      </c>
      <c r="F34" s="3" t="s">
        <v>474</v>
      </c>
      <c r="G34" s="3" t="s">
        <v>477</v>
      </c>
      <c r="H34" s="3" t="s">
        <v>400</v>
      </c>
      <c r="I34" s="3" t="s">
        <v>445</v>
      </c>
      <c r="J34" s="3" t="s">
        <v>446</v>
      </c>
      <c r="K34" s="3" t="s">
        <v>478</v>
      </c>
      <c r="L34" s="4">
        <v>42208</v>
      </c>
    </row>
    <row r="35" spans="1:12" x14ac:dyDescent="0.6">
      <c r="A35" s="3" t="s">
        <v>31</v>
      </c>
      <c r="B35" s="3" t="s">
        <v>29</v>
      </c>
      <c r="C35" s="3" t="s">
        <v>397</v>
      </c>
      <c r="D35" s="3">
        <v>41.787303700000002</v>
      </c>
      <c r="E35" s="3">
        <v>-88.273140999999995</v>
      </c>
      <c r="F35" s="3" t="s">
        <v>474</v>
      </c>
      <c r="G35" s="3" t="s">
        <v>479</v>
      </c>
      <c r="H35" s="3" t="s">
        <v>400</v>
      </c>
      <c r="I35" s="3" t="s">
        <v>445</v>
      </c>
      <c r="J35" s="3" t="s">
        <v>446</v>
      </c>
      <c r="K35" s="3" t="s">
        <v>480</v>
      </c>
      <c r="L35" s="4">
        <v>42208</v>
      </c>
    </row>
    <row r="36" spans="1:12" x14ac:dyDescent="0.6">
      <c r="A36" s="3" t="s">
        <v>32</v>
      </c>
      <c r="B36" s="3" t="s">
        <v>29</v>
      </c>
      <c r="C36" s="3" t="s">
        <v>397</v>
      </c>
      <c r="D36" s="3">
        <v>41.787303700000002</v>
      </c>
      <c r="E36" s="3">
        <v>-88.273044999999996</v>
      </c>
      <c r="F36" s="3" t="s">
        <v>474</v>
      </c>
      <c r="G36" s="3" t="s">
        <v>481</v>
      </c>
      <c r="H36" s="3" t="s">
        <v>400</v>
      </c>
      <c r="I36" s="3" t="s">
        <v>445</v>
      </c>
      <c r="J36" s="3" t="s">
        <v>446</v>
      </c>
      <c r="K36" s="3" t="s">
        <v>482</v>
      </c>
      <c r="L36" s="4">
        <v>42208</v>
      </c>
    </row>
    <row r="37" spans="1:12" x14ac:dyDescent="0.6">
      <c r="A37" s="3" t="s">
        <v>33</v>
      </c>
      <c r="B37" s="3" t="s">
        <v>29</v>
      </c>
      <c r="C37" s="3" t="s">
        <v>397</v>
      </c>
      <c r="D37" s="3">
        <v>41.789593400000001</v>
      </c>
      <c r="E37" s="3">
        <v>-88.272205999999997</v>
      </c>
      <c r="F37" s="3" t="s">
        <v>474</v>
      </c>
      <c r="G37" s="3" t="s">
        <v>483</v>
      </c>
      <c r="H37" s="3" t="s">
        <v>400</v>
      </c>
      <c r="I37" s="3" t="s">
        <v>445</v>
      </c>
      <c r="J37" s="3" t="s">
        <v>446</v>
      </c>
      <c r="K37" s="3" t="s">
        <v>484</v>
      </c>
      <c r="L37" s="4">
        <v>42208</v>
      </c>
    </row>
    <row r="38" spans="1:12" x14ac:dyDescent="0.6">
      <c r="A38" s="3" t="s">
        <v>34</v>
      </c>
      <c r="B38" s="3" t="s">
        <v>29</v>
      </c>
      <c r="C38" s="3" t="s">
        <v>397</v>
      </c>
      <c r="D38" s="3">
        <v>43.219807000000003</v>
      </c>
      <c r="E38" s="3">
        <v>-90.305408</v>
      </c>
      <c r="F38" s="3" t="s">
        <v>485</v>
      </c>
      <c r="G38" s="3" t="s">
        <v>486</v>
      </c>
      <c r="H38" s="3" t="s">
        <v>400</v>
      </c>
      <c r="I38" s="3" t="s">
        <v>487</v>
      </c>
      <c r="J38" s="3" t="s">
        <v>446</v>
      </c>
      <c r="K38" s="3" t="s">
        <v>488</v>
      </c>
      <c r="L38" s="4">
        <v>42213</v>
      </c>
    </row>
    <row r="39" spans="1:12" x14ac:dyDescent="0.6">
      <c r="A39" s="3" t="s">
        <v>35</v>
      </c>
      <c r="B39" s="3" t="s">
        <v>29</v>
      </c>
      <c r="C39" s="3" t="s">
        <v>397</v>
      </c>
      <c r="D39" s="3">
        <v>43.215161999999999</v>
      </c>
      <c r="E39" s="3">
        <v>-90.304929000000001</v>
      </c>
      <c r="F39" s="3" t="s">
        <v>485</v>
      </c>
      <c r="G39" s="3" t="s">
        <v>489</v>
      </c>
      <c r="H39" s="3" t="s">
        <v>400</v>
      </c>
      <c r="I39" s="3" t="s">
        <v>487</v>
      </c>
      <c r="J39" s="3" t="s">
        <v>446</v>
      </c>
      <c r="K39" s="3" t="s">
        <v>490</v>
      </c>
      <c r="L39" s="4">
        <v>42213</v>
      </c>
    </row>
    <row r="40" spans="1:12" x14ac:dyDescent="0.6">
      <c r="A40" s="3" t="s">
        <v>36</v>
      </c>
      <c r="B40" s="3" t="s">
        <v>11</v>
      </c>
      <c r="C40" s="3" t="s">
        <v>397</v>
      </c>
      <c r="D40" s="3">
        <v>43.241424000000002</v>
      </c>
      <c r="E40" s="3">
        <v>-90.302267999999998</v>
      </c>
      <c r="F40" s="3" t="s">
        <v>485</v>
      </c>
      <c r="G40" s="3" t="s">
        <v>491</v>
      </c>
      <c r="H40" s="3" t="s">
        <v>400</v>
      </c>
      <c r="I40" s="3" t="s">
        <v>487</v>
      </c>
      <c r="J40" s="3" t="s">
        <v>446</v>
      </c>
      <c r="K40" s="3" t="s">
        <v>492</v>
      </c>
      <c r="L40" s="4">
        <v>42213</v>
      </c>
    </row>
    <row r="41" spans="1:12" x14ac:dyDescent="0.6">
      <c r="A41" s="3" t="s">
        <v>37</v>
      </c>
      <c r="B41" s="3" t="s">
        <v>11</v>
      </c>
      <c r="C41" s="3" t="s">
        <v>397</v>
      </c>
      <c r="D41" s="3">
        <v>43.241424000000002</v>
      </c>
      <c r="E41" s="3">
        <v>-90.302267999999998</v>
      </c>
      <c r="F41" s="3" t="s">
        <v>485</v>
      </c>
      <c r="G41" s="3" t="s">
        <v>493</v>
      </c>
      <c r="H41" s="3" t="s">
        <v>400</v>
      </c>
      <c r="I41" s="3" t="s">
        <v>487</v>
      </c>
      <c r="J41" s="3" t="s">
        <v>446</v>
      </c>
      <c r="K41" s="3" t="s">
        <v>494</v>
      </c>
      <c r="L41" s="4">
        <v>42213</v>
      </c>
    </row>
    <row r="42" spans="1:12" x14ac:dyDescent="0.6">
      <c r="A42" s="3" t="s">
        <v>38</v>
      </c>
      <c r="B42" s="3" t="s">
        <v>11</v>
      </c>
      <c r="C42" s="3" t="s">
        <v>397</v>
      </c>
      <c r="D42" s="3">
        <v>43.264792999999997</v>
      </c>
      <c r="E42" s="3">
        <v>-90.303890999999993</v>
      </c>
      <c r="F42" s="3" t="s">
        <v>485</v>
      </c>
      <c r="G42" s="3" t="s">
        <v>495</v>
      </c>
      <c r="H42" s="3" t="s">
        <v>400</v>
      </c>
      <c r="I42" s="3" t="s">
        <v>487</v>
      </c>
      <c r="J42" s="3" t="s">
        <v>446</v>
      </c>
      <c r="K42" s="3" t="s">
        <v>496</v>
      </c>
      <c r="L42" s="4">
        <v>42213</v>
      </c>
    </row>
    <row r="43" spans="1:12" x14ac:dyDescent="0.6">
      <c r="A43" s="3" t="s">
        <v>39</v>
      </c>
      <c r="B43" s="3" t="s">
        <v>29</v>
      </c>
      <c r="C43" s="3" t="s">
        <v>397</v>
      </c>
      <c r="D43" s="3">
        <v>43.240287000000002</v>
      </c>
      <c r="E43" s="3">
        <v>-90.302313999999996</v>
      </c>
      <c r="F43" s="3" t="s">
        <v>485</v>
      </c>
      <c r="G43" s="3" t="s">
        <v>497</v>
      </c>
      <c r="H43" s="3" t="s">
        <v>400</v>
      </c>
      <c r="I43" s="3" t="s">
        <v>487</v>
      </c>
      <c r="J43" s="3" t="s">
        <v>446</v>
      </c>
      <c r="K43" s="3" t="s">
        <v>498</v>
      </c>
      <c r="L43" s="4">
        <v>42214</v>
      </c>
    </row>
    <row r="44" spans="1:12" x14ac:dyDescent="0.6">
      <c r="A44" s="3" t="s">
        <v>40</v>
      </c>
      <c r="B44" s="3" t="s">
        <v>29</v>
      </c>
      <c r="C44" s="3" t="s">
        <v>397</v>
      </c>
      <c r="D44" s="3">
        <v>43.264792999999997</v>
      </c>
      <c r="E44" s="3">
        <v>-90.303890999999993</v>
      </c>
      <c r="F44" s="3" t="s">
        <v>485</v>
      </c>
      <c r="G44" s="3" t="s">
        <v>499</v>
      </c>
      <c r="H44" s="3" t="s">
        <v>400</v>
      </c>
      <c r="I44" s="3" t="s">
        <v>487</v>
      </c>
      <c r="J44" s="3" t="s">
        <v>446</v>
      </c>
      <c r="K44" s="3" t="s">
        <v>500</v>
      </c>
      <c r="L44" s="4">
        <v>42214</v>
      </c>
    </row>
    <row r="45" spans="1:12" x14ac:dyDescent="0.6">
      <c r="A45" s="3" t="s">
        <v>55</v>
      </c>
      <c r="B45" s="3" t="s">
        <v>11</v>
      </c>
      <c r="C45" s="3" t="s">
        <v>397</v>
      </c>
      <c r="D45" s="3">
        <v>41.721525</v>
      </c>
      <c r="E45" s="3">
        <v>-87.860569999999996</v>
      </c>
      <c r="F45" s="3" t="s">
        <v>501</v>
      </c>
      <c r="G45" s="3" t="s">
        <v>502</v>
      </c>
      <c r="H45" s="3" t="s">
        <v>400</v>
      </c>
      <c r="I45" s="3" t="s">
        <v>445</v>
      </c>
      <c r="J45" s="3" t="s">
        <v>446</v>
      </c>
      <c r="K45" s="3" t="s">
        <v>503</v>
      </c>
      <c r="L45" s="4">
        <v>42233</v>
      </c>
    </row>
    <row r="46" spans="1:12" x14ac:dyDescent="0.6">
      <c r="A46" s="3" t="s">
        <v>56</v>
      </c>
      <c r="B46" s="3" t="s">
        <v>11</v>
      </c>
      <c r="C46" s="3" t="s">
        <v>397</v>
      </c>
      <c r="D46" s="3">
        <v>41.724335000000004</v>
      </c>
      <c r="E46" s="3">
        <v>-87.859900999999994</v>
      </c>
      <c r="F46" s="3" t="s">
        <v>501</v>
      </c>
      <c r="G46" s="3" t="s">
        <v>504</v>
      </c>
      <c r="H46" s="3" t="s">
        <v>400</v>
      </c>
      <c r="I46" s="3" t="s">
        <v>445</v>
      </c>
      <c r="J46" s="3" t="s">
        <v>446</v>
      </c>
      <c r="K46" s="3" t="s">
        <v>505</v>
      </c>
      <c r="L46" s="4">
        <v>42233</v>
      </c>
    </row>
    <row r="47" spans="1:12" x14ac:dyDescent="0.6">
      <c r="A47" s="3" t="s">
        <v>59</v>
      </c>
      <c r="B47" s="3" t="s">
        <v>29</v>
      </c>
      <c r="C47" s="3" t="s">
        <v>397</v>
      </c>
      <c r="D47" s="3">
        <v>41.726607999999999</v>
      </c>
      <c r="E47" s="3">
        <v>-87.866085999999996</v>
      </c>
      <c r="F47" s="3" t="s">
        <v>501</v>
      </c>
      <c r="G47" s="3" t="s">
        <v>506</v>
      </c>
      <c r="H47" s="3" t="s">
        <v>400</v>
      </c>
      <c r="I47" s="3" t="s">
        <v>445</v>
      </c>
      <c r="J47" s="3" t="s">
        <v>446</v>
      </c>
      <c r="K47" s="3" t="s">
        <v>507</v>
      </c>
      <c r="L47" s="4">
        <v>42233</v>
      </c>
    </row>
    <row r="48" spans="1:12" x14ac:dyDescent="0.6">
      <c r="A48" s="3" t="s">
        <v>60</v>
      </c>
      <c r="B48" s="3" t="s">
        <v>29</v>
      </c>
      <c r="C48" s="3" t="s">
        <v>397</v>
      </c>
      <c r="D48" s="3">
        <v>41.7258</v>
      </c>
      <c r="E48" s="3">
        <v>-87.865460999999996</v>
      </c>
      <c r="F48" s="3" t="s">
        <v>501</v>
      </c>
      <c r="G48" s="3" t="s">
        <v>508</v>
      </c>
      <c r="H48" s="3" t="s">
        <v>400</v>
      </c>
      <c r="I48" s="3" t="s">
        <v>445</v>
      </c>
      <c r="J48" s="3" t="s">
        <v>446</v>
      </c>
      <c r="K48" s="3" t="s">
        <v>509</v>
      </c>
      <c r="L48" s="4">
        <v>42233</v>
      </c>
    </row>
    <row r="49" spans="1:12" x14ac:dyDescent="0.6">
      <c r="A49" s="3" t="s">
        <v>61</v>
      </c>
      <c r="B49" s="3" t="s">
        <v>29</v>
      </c>
      <c r="C49" s="3" t="s">
        <v>397</v>
      </c>
      <c r="D49" s="3">
        <v>41.725382000000003</v>
      </c>
      <c r="E49" s="3">
        <v>-87.863709999999998</v>
      </c>
      <c r="F49" s="3" t="s">
        <v>501</v>
      </c>
      <c r="G49" s="3" t="s">
        <v>510</v>
      </c>
      <c r="H49" s="3" t="s">
        <v>400</v>
      </c>
      <c r="I49" s="3" t="s">
        <v>445</v>
      </c>
      <c r="J49" s="3" t="s">
        <v>446</v>
      </c>
      <c r="K49" s="3" t="s">
        <v>511</v>
      </c>
      <c r="L49" s="4">
        <v>42233</v>
      </c>
    </row>
    <row r="50" spans="1:12" x14ac:dyDescent="0.6">
      <c r="A50" s="3" t="s">
        <v>62</v>
      </c>
      <c r="B50" s="3" t="s">
        <v>11</v>
      </c>
      <c r="C50" s="3" t="s">
        <v>397</v>
      </c>
      <c r="D50" s="3">
        <v>41.725689000000003</v>
      </c>
      <c r="E50" s="3">
        <v>-87.862598000000006</v>
      </c>
      <c r="F50" s="3" t="s">
        <v>501</v>
      </c>
      <c r="G50" s="3" t="s">
        <v>512</v>
      </c>
      <c r="H50" s="3" t="s">
        <v>400</v>
      </c>
      <c r="I50" s="3" t="s">
        <v>445</v>
      </c>
      <c r="J50" s="3" t="s">
        <v>446</v>
      </c>
      <c r="K50" s="3" t="s">
        <v>513</v>
      </c>
      <c r="L50" s="4">
        <v>42233</v>
      </c>
    </row>
    <row r="51" spans="1:12" x14ac:dyDescent="0.6">
      <c r="A51" s="3" t="s">
        <v>63</v>
      </c>
      <c r="B51" s="3" t="s">
        <v>11</v>
      </c>
      <c r="C51" s="3" t="s">
        <v>397</v>
      </c>
      <c r="D51" s="3">
        <v>41.718071999999999</v>
      </c>
      <c r="E51" s="3">
        <v>-87.866356999999994</v>
      </c>
      <c r="F51" s="3" t="s">
        <v>501</v>
      </c>
      <c r="G51" s="3" t="s">
        <v>514</v>
      </c>
      <c r="H51" s="3" t="s">
        <v>400</v>
      </c>
      <c r="I51" s="3" t="s">
        <v>445</v>
      </c>
      <c r="J51" s="3" t="s">
        <v>446</v>
      </c>
      <c r="K51" s="3" t="s">
        <v>515</v>
      </c>
      <c r="L51" s="4">
        <v>42233</v>
      </c>
    </row>
    <row r="52" spans="1:12" x14ac:dyDescent="0.6">
      <c r="A52" s="3" t="s">
        <v>64</v>
      </c>
      <c r="B52" s="3" t="s">
        <v>11</v>
      </c>
      <c r="C52" s="3" t="s">
        <v>397</v>
      </c>
      <c r="D52" s="3">
        <v>41.718089999999997</v>
      </c>
      <c r="E52" s="3">
        <v>-87.866302000000005</v>
      </c>
      <c r="F52" s="3" t="s">
        <v>501</v>
      </c>
      <c r="G52" s="3" t="s">
        <v>516</v>
      </c>
      <c r="H52" s="3" t="s">
        <v>400</v>
      </c>
      <c r="I52" s="3" t="s">
        <v>445</v>
      </c>
      <c r="J52" s="3" t="s">
        <v>446</v>
      </c>
      <c r="K52" s="3" t="s">
        <v>517</v>
      </c>
      <c r="L52" s="4">
        <v>42233</v>
      </c>
    </row>
    <row r="53" spans="1:12" x14ac:dyDescent="0.6">
      <c r="A53" s="3" t="s">
        <v>65</v>
      </c>
      <c r="B53" s="3" t="s">
        <v>29</v>
      </c>
      <c r="C53" s="3" t="s">
        <v>397</v>
      </c>
      <c r="D53" s="3">
        <v>41.718212999999999</v>
      </c>
      <c r="E53" s="3">
        <v>-87.866310999999996</v>
      </c>
      <c r="F53" s="3" t="s">
        <v>501</v>
      </c>
      <c r="G53" s="3" t="s">
        <v>518</v>
      </c>
      <c r="H53" s="3" t="s">
        <v>400</v>
      </c>
      <c r="I53" s="3" t="s">
        <v>445</v>
      </c>
      <c r="J53" s="3" t="s">
        <v>446</v>
      </c>
      <c r="K53" s="3" t="s">
        <v>519</v>
      </c>
      <c r="L53" s="4">
        <v>42233</v>
      </c>
    </row>
    <row r="54" spans="1:12" x14ac:dyDescent="0.6">
      <c r="A54" s="3" t="s">
        <v>66</v>
      </c>
      <c r="B54" s="3" t="s">
        <v>11</v>
      </c>
      <c r="C54" s="3" t="s">
        <v>397</v>
      </c>
      <c r="D54" s="3">
        <v>41.721240000000002</v>
      </c>
      <c r="E54" s="3">
        <v>-87.866643999999994</v>
      </c>
      <c r="F54" s="3" t="s">
        <v>501</v>
      </c>
      <c r="G54" s="3" t="s">
        <v>520</v>
      </c>
      <c r="H54" s="3" t="s">
        <v>400</v>
      </c>
      <c r="I54" s="3" t="s">
        <v>445</v>
      </c>
      <c r="J54" s="3" t="s">
        <v>446</v>
      </c>
      <c r="K54" s="3" t="s">
        <v>521</v>
      </c>
      <c r="L54" s="4">
        <v>42233</v>
      </c>
    </row>
    <row r="55" spans="1:12" x14ac:dyDescent="0.6">
      <c r="A55" s="3" t="s">
        <v>67</v>
      </c>
      <c r="B55" s="3" t="s">
        <v>29</v>
      </c>
      <c r="C55" s="3" t="s">
        <v>397</v>
      </c>
      <c r="D55" s="3">
        <v>42.183259</v>
      </c>
      <c r="E55" s="3">
        <v>-87.914855000000003</v>
      </c>
      <c r="F55" s="3" t="s">
        <v>522</v>
      </c>
      <c r="G55" s="3" t="s">
        <v>523</v>
      </c>
      <c r="H55" s="3" t="s">
        <v>400</v>
      </c>
      <c r="I55" s="3" t="s">
        <v>445</v>
      </c>
      <c r="J55" s="3" t="s">
        <v>446</v>
      </c>
      <c r="K55" s="3" t="s">
        <v>524</v>
      </c>
      <c r="L55" s="4">
        <v>42234</v>
      </c>
    </row>
    <row r="56" spans="1:12" x14ac:dyDescent="0.6">
      <c r="A56" s="3" t="s">
        <v>68</v>
      </c>
      <c r="B56" s="3" t="s">
        <v>29</v>
      </c>
      <c r="C56" s="3" t="s">
        <v>397</v>
      </c>
      <c r="D56" s="3">
        <v>42.183259</v>
      </c>
      <c r="E56" s="3">
        <v>-87.914855000000003</v>
      </c>
      <c r="F56" s="3" t="s">
        <v>522</v>
      </c>
      <c r="G56" s="3" t="s">
        <v>525</v>
      </c>
      <c r="H56" s="3" t="s">
        <v>400</v>
      </c>
      <c r="I56" s="3" t="s">
        <v>445</v>
      </c>
      <c r="J56" s="3" t="s">
        <v>446</v>
      </c>
      <c r="K56" s="3" t="s">
        <v>526</v>
      </c>
      <c r="L56" s="4">
        <v>42234</v>
      </c>
    </row>
    <row r="57" spans="1:12" x14ac:dyDescent="0.6">
      <c r="A57" s="3" t="s">
        <v>69</v>
      </c>
      <c r="B57" s="3" t="s">
        <v>29</v>
      </c>
      <c r="C57" s="3" t="s">
        <v>397</v>
      </c>
      <c r="D57" s="3">
        <v>42.183259</v>
      </c>
      <c r="E57" s="3">
        <v>-87.914855000000003</v>
      </c>
      <c r="F57" s="3" t="s">
        <v>522</v>
      </c>
      <c r="G57" s="3" t="s">
        <v>527</v>
      </c>
      <c r="H57" s="3" t="s">
        <v>400</v>
      </c>
      <c r="I57" s="3" t="s">
        <v>445</v>
      </c>
      <c r="J57" s="3" t="s">
        <v>446</v>
      </c>
      <c r="K57" s="3" t="s">
        <v>528</v>
      </c>
      <c r="L57" s="4">
        <v>42234</v>
      </c>
    </row>
    <row r="58" spans="1:12" x14ac:dyDescent="0.6">
      <c r="A58" s="3" t="s">
        <v>70</v>
      </c>
      <c r="B58" s="3" t="s">
        <v>11</v>
      </c>
      <c r="C58" s="3" t="s">
        <v>397</v>
      </c>
      <c r="D58" s="3">
        <v>42.183917000000001</v>
      </c>
      <c r="E58" s="3">
        <v>-87.915120000000002</v>
      </c>
      <c r="F58" s="3" t="s">
        <v>522</v>
      </c>
      <c r="G58" s="3" t="s">
        <v>529</v>
      </c>
      <c r="H58" s="3" t="s">
        <v>400</v>
      </c>
      <c r="I58" s="3" t="s">
        <v>445</v>
      </c>
      <c r="J58" s="3" t="s">
        <v>446</v>
      </c>
      <c r="K58" s="3" t="s">
        <v>530</v>
      </c>
      <c r="L58" s="4">
        <v>42234</v>
      </c>
    </row>
    <row r="59" spans="1:12" x14ac:dyDescent="0.6">
      <c r="A59" s="3" t="s">
        <v>71</v>
      </c>
      <c r="B59" s="3" t="s">
        <v>11</v>
      </c>
      <c r="C59" s="3" t="s">
        <v>397</v>
      </c>
      <c r="D59" s="3">
        <v>42.183917000000001</v>
      </c>
      <c r="E59" s="3">
        <v>-87.915120000000002</v>
      </c>
      <c r="F59" s="3" t="s">
        <v>522</v>
      </c>
      <c r="G59" s="3" t="s">
        <v>531</v>
      </c>
      <c r="H59" s="3" t="s">
        <v>400</v>
      </c>
      <c r="I59" s="3" t="s">
        <v>445</v>
      </c>
      <c r="J59" s="3" t="s">
        <v>446</v>
      </c>
      <c r="K59" s="3" t="s">
        <v>532</v>
      </c>
      <c r="L59" s="4">
        <v>42234</v>
      </c>
    </row>
    <row r="60" spans="1:12" x14ac:dyDescent="0.6">
      <c r="A60" s="3" t="s">
        <v>72</v>
      </c>
      <c r="B60" s="3" t="s">
        <v>29</v>
      </c>
      <c r="C60" s="3" t="s">
        <v>397</v>
      </c>
      <c r="D60" s="3">
        <v>42.184283000000001</v>
      </c>
      <c r="E60" s="3">
        <v>-87.914621999999994</v>
      </c>
      <c r="F60" s="3" t="s">
        <v>522</v>
      </c>
      <c r="G60" s="3" t="s">
        <v>533</v>
      </c>
      <c r="H60" s="3" t="s">
        <v>400</v>
      </c>
      <c r="I60" s="3" t="s">
        <v>445</v>
      </c>
      <c r="J60" s="3" t="s">
        <v>446</v>
      </c>
      <c r="K60" s="3" t="s">
        <v>534</v>
      </c>
      <c r="L60" s="4">
        <v>42234</v>
      </c>
    </row>
    <row r="61" spans="1:12" x14ac:dyDescent="0.6">
      <c r="A61" s="3" t="s">
        <v>73</v>
      </c>
      <c r="B61" s="3" t="s">
        <v>29</v>
      </c>
      <c r="C61" s="3" t="s">
        <v>397</v>
      </c>
      <c r="D61" s="3">
        <v>42.184204000000001</v>
      </c>
      <c r="E61" s="3">
        <v>-87.913636999999994</v>
      </c>
      <c r="F61" s="3" t="s">
        <v>522</v>
      </c>
      <c r="G61" s="3" t="s">
        <v>535</v>
      </c>
      <c r="H61" s="3" t="s">
        <v>400</v>
      </c>
      <c r="I61" s="3" t="s">
        <v>445</v>
      </c>
      <c r="J61" s="3" t="s">
        <v>446</v>
      </c>
      <c r="K61" s="3" t="s">
        <v>536</v>
      </c>
      <c r="L61" s="4">
        <v>42234</v>
      </c>
    </row>
    <row r="62" spans="1:12" x14ac:dyDescent="0.6">
      <c r="A62" s="3" t="s">
        <v>74</v>
      </c>
      <c r="B62" s="3" t="s">
        <v>11</v>
      </c>
      <c r="C62" s="3" t="s">
        <v>397</v>
      </c>
      <c r="D62" s="3">
        <v>42.183467999999998</v>
      </c>
      <c r="E62" s="3">
        <v>-87.914299999999997</v>
      </c>
      <c r="F62" s="3" t="s">
        <v>522</v>
      </c>
      <c r="G62" s="3" t="s">
        <v>537</v>
      </c>
      <c r="H62" s="3" t="s">
        <v>400</v>
      </c>
      <c r="I62" s="3" t="s">
        <v>445</v>
      </c>
      <c r="J62" s="3" t="s">
        <v>446</v>
      </c>
      <c r="K62" s="3" t="s">
        <v>538</v>
      </c>
      <c r="L62" s="4">
        <v>42234</v>
      </c>
    </row>
    <row r="63" spans="1:12" x14ac:dyDescent="0.6">
      <c r="A63" s="3" t="s">
        <v>75</v>
      </c>
      <c r="B63" s="3" t="s">
        <v>11</v>
      </c>
      <c r="C63" s="3" t="s">
        <v>397</v>
      </c>
      <c r="D63" s="3">
        <v>42.183467999999998</v>
      </c>
      <c r="E63" s="3">
        <v>-87.914299999999997</v>
      </c>
      <c r="F63" s="3" t="s">
        <v>522</v>
      </c>
      <c r="G63" s="3" t="s">
        <v>539</v>
      </c>
      <c r="H63" s="3" t="s">
        <v>400</v>
      </c>
      <c r="I63" s="3" t="s">
        <v>445</v>
      </c>
      <c r="J63" s="3" t="s">
        <v>446</v>
      </c>
      <c r="K63" s="3" t="s">
        <v>540</v>
      </c>
      <c r="L63" s="4">
        <v>42234</v>
      </c>
    </row>
    <row r="64" spans="1:12" x14ac:dyDescent="0.6">
      <c r="A64" s="3" t="s">
        <v>76</v>
      </c>
      <c r="B64" s="3" t="s">
        <v>11</v>
      </c>
      <c r="C64" s="3" t="s">
        <v>397</v>
      </c>
      <c r="D64" s="3">
        <v>42.181511</v>
      </c>
      <c r="E64" s="3">
        <v>-87.918993999999998</v>
      </c>
      <c r="F64" s="3" t="s">
        <v>522</v>
      </c>
      <c r="G64" s="3" t="s">
        <v>541</v>
      </c>
      <c r="H64" s="3" t="s">
        <v>400</v>
      </c>
      <c r="I64" s="3" t="s">
        <v>445</v>
      </c>
      <c r="J64" s="3" t="s">
        <v>446</v>
      </c>
      <c r="K64" s="3" t="s">
        <v>542</v>
      </c>
      <c r="L64" s="4">
        <v>42234</v>
      </c>
    </row>
    <row r="65" spans="1:12" x14ac:dyDescent="0.6">
      <c r="A65" s="3" t="s">
        <v>53</v>
      </c>
      <c r="B65" s="3" t="s">
        <v>54</v>
      </c>
      <c r="C65" s="3" t="s">
        <v>397</v>
      </c>
      <c r="D65" s="3">
        <v>34.933332999999998</v>
      </c>
      <c r="E65" s="3">
        <v>-92.414721999999998</v>
      </c>
      <c r="F65" s="3" t="s">
        <v>543</v>
      </c>
      <c r="G65" s="3" t="s">
        <v>544</v>
      </c>
      <c r="H65" s="3" t="s">
        <v>400</v>
      </c>
      <c r="I65" s="3" t="s">
        <v>422</v>
      </c>
      <c r="J65" s="3" t="s">
        <v>545</v>
      </c>
      <c r="K65" s="3" t="s">
        <v>546</v>
      </c>
      <c r="L65" s="4">
        <v>42172</v>
      </c>
    </row>
    <row r="66" spans="1:12" x14ac:dyDescent="0.6">
      <c r="A66" s="3" t="s">
        <v>51</v>
      </c>
      <c r="B66" s="3" t="s">
        <v>43</v>
      </c>
      <c r="C66" s="3" t="s">
        <v>397</v>
      </c>
      <c r="D66" s="3">
        <v>30.076388999999999</v>
      </c>
      <c r="E66" s="3">
        <v>-97.181667000000004</v>
      </c>
      <c r="F66" s="3" t="s">
        <v>547</v>
      </c>
      <c r="G66" s="3" t="s">
        <v>548</v>
      </c>
      <c r="H66" s="3" t="s">
        <v>400</v>
      </c>
      <c r="I66" s="3" t="s">
        <v>422</v>
      </c>
      <c r="J66" s="3" t="s">
        <v>545</v>
      </c>
      <c r="K66" s="3" t="s">
        <v>549</v>
      </c>
      <c r="L66" s="4">
        <v>42166</v>
      </c>
    </row>
    <row r="67" spans="1:12" x14ac:dyDescent="0.6">
      <c r="A67" s="3" t="s">
        <v>52</v>
      </c>
      <c r="B67" s="3" t="s">
        <v>43</v>
      </c>
      <c r="C67" s="3" t="s">
        <v>397</v>
      </c>
      <c r="D67" s="3">
        <v>30.076388999999999</v>
      </c>
      <c r="E67" s="3">
        <v>-97.181667000000004</v>
      </c>
      <c r="F67" s="3" t="s">
        <v>547</v>
      </c>
      <c r="G67" s="3" t="s">
        <v>550</v>
      </c>
      <c r="H67" s="3" t="s">
        <v>400</v>
      </c>
      <c r="I67" s="3" t="s">
        <v>422</v>
      </c>
      <c r="J67" s="3" t="s">
        <v>545</v>
      </c>
      <c r="K67" s="3" t="s">
        <v>551</v>
      </c>
      <c r="L67" s="4">
        <v>42166</v>
      </c>
    </row>
    <row r="68" spans="1:12" x14ac:dyDescent="0.6">
      <c r="A68" s="3" t="s">
        <v>77</v>
      </c>
      <c r="B68" s="3" t="s">
        <v>29</v>
      </c>
      <c r="C68" s="3" t="s">
        <v>397</v>
      </c>
      <c r="D68" s="3">
        <v>42.177593000000002</v>
      </c>
      <c r="E68" s="3">
        <v>-87.920502999999997</v>
      </c>
      <c r="F68" s="3" t="s">
        <v>522</v>
      </c>
      <c r="G68" s="3" t="s">
        <v>552</v>
      </c>
      <c r="H68" s="3" t="s">
        <v>400</v>
      </c>
      <c r="I68" s="3" t="s">
        <v>445</v>
      </c>
      <c r="J68" s="3" t="s">
        <v>446</v>
      </c>
      <c r="K68" s="3" t="s">
        <v>553</v>
      </c>
      <c r="L68" s="4">
        <v>42234</v>
      </c>
    </row>
    <row r="69" spans="1:12" x14ac:dyDescent="0.6">
      <c r="A69" s="3" t="s">
        <v>78</v>
      </c>
      <c r="B69" s="3" t="s">
        <v>11</v>
      </c>
      <c r="C69" s="3" t="s">
        <v>397</v>
      </c>
      <c r="D69" s="3">
        <v>42.17597</v>
      </c>
      <c r="E69" s="3">
        <v>-87.916979999999995</v>
      </c>
      <c r="F69" s="3" t="s">
        <v>522</v>
      </c>
      <c r="G69" s="3" t="s">
        <v>554</v>
      </c>
      <c r="H69" s="3" t="s">
        <v>400</v>
      </c>
      <c r="I69" s="3" t="s">
        <v>445</v>
      </c>
      <c r="J69" s="3" t="s">
        <v>446</v>
      </c>
      <c r="K69" s="3" t="s">
        <v>555</v>
      </c>
      <c r="L69" s="4">
        <v>42234</v>
      </c>
    </row>
    <row r="70" spans="1:12" x14ac:dyDescent="0.6">
      <c r="A70" s="3" t="s">
        <v>79</v>
      </c>
      <c r="B70" s="3" t="s">
        <v>29</v>
      </c>
      <c r="C70" s="3" t="s">
        <v>397</v>
      </c>
      <c r="D70" s="3">
        <v>42.17597</v>
      </c>
      <c r="E70" s="3">
        <v>-87.916979999999995</v>
      </c>
      <c r="F70" s="3" t="s">
        <v>522</v>
      </c>
      <c r="G70" s="3" t="s">
        <v>556</v>
      </c>
      <c r="H70" s="3" t="s">
        <v>400</v>
      </c>
      <c r="I70" s="3" t="s">
        <v>445</v>
      </c>
      <c r="J70" s="3" t="s">
        <v>446</v>
      </c>
      <c r="K70" s="3" t="s">
        <v>557</v>
      </c>
      <c r="L70" s="4">
        <v>42234</v>
      </c>
    </row>
    <row r="71" spans="1:12" x14ac:dyDescent="0.6">
      <c r="A71" s="3" t="s">
        <v>80</v>
      </c>
      <c r="B71" s="3" t="s">
        <v>29</v>
      </c>
      <c r="C71" s="3" t="s">
        <v>397</v>
      </c>
      <c r="D71" s="3">
        <v>42.174554999999998</v>
      </c>
      <c r="E71" s="3">
        <v>-87.912008</v>
      </c>
      <c r="F71" s="3" t="s">
        <v>522</v>
      </c>
      <c r="G71" s="3" t="s">
        <v>558</v>
      </c>
      <c r="H71" s="3" t="s">
        <v>400</v>
      </c>
      <c r="I71" s="3" t="s">
        <v>445</v>
      </c>
      <c r="J71" s="3" t="s">
        <v>446</v>
      </c>
      <c r="K71" s="3" t="s">
        <v>559</v>
      </c>
      <c r="L71" s="4">
        <v>42234</v>
      </c>
    </row>
    <row r="72" spans="1:12" x14ac:dyDescent="0.6">
      <c r="A72" s="3" t="s">
        <v>81</v>
      </c>
      <c r="B72" s="3" t="s">
        <v>11</v>
      </c>
      <c r="C72" s="3" t="s">
        <v>397</v>
      </c>
      <c r="D72" s="3">
        <v>42.175674000000001</v>
      </c>
      <c r="E72" s="3">
        <v>-87.914878000000002</v>
      </c>
      <c r="F72" s="3" t="s">
        <v>522</v>
      </c>
      <c r="G72" s="3" t="s">
        <v>560</v>
      </c>
      <c r="H72" s="3" t="s">
        <v>400</v>
      </c>
      <c r="I72" s="3" t="s">
        <v>445</v>
      </c>
      <c r="J72" s="3" t="s">
        <v>446</v>
      </c>
      <c r="K72" s="3" t="s">
        <v>561</v>
      </c>
      <c r="L72" s="4">
        <v>42234</v>
      </c>
    </row>
    <row r="73" spans="1:12" x14ac:dyDescent="0.6">
      <c r="A73" s="3" t="s">
        <v>82</v>
      </c>
      <c r="B73" s="3" t="s">
        <v>29</v>
      </c>
      <c r="C73" s="3" t="s">
        <v>397</v>
      </c>
      <c r="D73" s="3">
        <v>42.175536000000001</v>
      </c>
      <c r="E73" s="3">
        <v>-87.914478000000003</v>
      </c>
      <c r="F73" s="3" t="s">
        <v>522</v>
      </c>
      <c r="G73" s="3" t="s">
        <v>562</v>
      </c>
      <c r="H73" s="3" t="s">
        <v>400</v>
      </c>
      <c r="I73" s="3" t="s">
        <v>445</v>
      </c>
      <c r="J73" s="3" t="s">
        <v>446</v>
      </c>
      <c r="K73" s="3" t="s">
        <v>563</v>
      </c>
      <c r="L73" s="4">
        <v>42234</v>
      </c>
    </row>
    <row r="74" spans="1:12" x14ac:dyDescent="0.6">
      <c r="A74" s="3" t="s">
        <v>83</v>
      </c>
      <c r="B74" s="3" t="s">
        <v>11</v>
      </c>
      <c r="C74" s="3" t="s">
        <v>397</v>
      </c>
      <c r="D74" s="3">
        <v>42.175700999999997</v>
      </c>
      <c r="E74" s="3">
        <v>-87.914441999999994</v>
      </c>
      <c r="F74" s="3" t="s">
        <v>522</v>
      </c>
      <c r="G74" s="3" t="s">
        <v>564</v>
      </c>
      <c r="H74" s="3" t="s">
        <v>400</v>
      </c>
      <c r="I74" s="3" t="s">
        <v>445</v>
      </c>
      <c r="J74" s="3" t="s">
        <v>446</v>
      </c>
      <c r="K74" s="3" t="s">
        <v>565</v>
      </c>
      <c r="L74" s="4">
        <v>42234</v>
      </c>
    </row>
    <row r="75" spans="1:12" x14ac:dyDescent="0.6">
      <c r="A75" s="3" t="s">
        <v>41</v>
      </c>
      <c r="B75" s="3" t="s">
        <v>29</v>
      </c>
      <c r="C75" s="3" t="s">
        <v>397</v>
      </c>
      <c r="D75" s="3">
        <v>43.264792999999997</v>
      </c>
      <c r="E75" s="3">
        <v>-90.303890999999993</v>
      </c>
      <c r="F75" s="3" t="s">
        <v>485</v>
      </c>
      <c r="G75" s="3" t="s">
        <v>566</v>
      </c>
      <c r="H75" s="3" t="s">
        <v>400</v>
      </c>
      <c r="I75" s="3" t="s">
        <v>487</v>
      </c>
      <c r="J75" s="3" t="s">
        <v>446</v>
      </c>
      <c r="K75" s="3" t="s">
        <v>567</v>
      </c>
      <c r="L75" s="4">
        <v>42214</v>
      </c>
    </row>
    <row r="76" spans="1:12" x14ac:dyDescent="0.6">
      <c r="A76" s="3" t="s">
        <v>42</v>
      </c>
      <c r="B76" s="3" t="s">
        <v>43</v>
      </c>
      <c r="C76" s="3" t="s">
        <v>397</v>
      </c>
      <c r="D76" s="3">
        <v>32.358242099999998</v>
      </c>
      <c r="E76" s="3">
        <v>-89.547184999999999</v>
      </c>
      <c r="F76" s="3" t="s">
        <v>568</v>
      </c>
      <c r="G76" s="3" t="s">
        <v>569</v>
      </c>
      <c r="H76" s="3" t="s">
        <v>400</v>
      </c>
      <c r="I76" s="3" t="s">
        <v>422</v>
      </c>
      <c r="J76" s="3" t="s">
        <v>545</v>
      </c>
      <c r="K76" s="3" t="s">
        <v>570</v>
      </c>
      <c r="L76" s="4">
        <v>42161</v>
      </c>
    </row>
    <row r="77" spans="1:12" x14ac:dyDescent="0.6">
      <c r="A77" s="3" t="s">
        <v>44</v>
      </c>
      <c r="B77" s="3" t="s">
        <v>43</v>
      </c>
      <c r="C77" s="3" t="s">
        <v>397</v>
      </c>
      <c r="D77" s="3">
        <v>32.358242099999998</v>
      </c>
      <c r="E77" s="3">
        <v>-89.547184999999999</v>
      </c>
      <c r="F77" s="3" t="s">
        <v>568</v>
      </c>
      <c r="G77" s="3" t="s">
        <v>571</v>
      </c>
      <c r="H77" s="3" t="s">
        <v>400</v>
      </c>
      <c r="I77" s="3" t="s">
        <v>422</v>
      </c>
      <c r="J77" s="3" t="s">
        <v>545</v>
      </c>
      <c r="K77" s="3" t="s">
        <v>572</v>
      </c>
      <c r="L77" s="4">
        <v>42161</v>
      </c>
    </row>
    <row r="78" spans="1:12" x14ac:dyDescent="0.6">
      <c r="A78" s="3" t="s">
        <v>45</v>
      </c>
      <c r="B78" s="3" t="s">
        <v>43</v>
      </c>
      <c r="C78" s="3" t="s">
        <v>397</v>
      </c>
      <c r="D78" s="3">
        <v>32.358242099999998</v>
      </c>
      <c r="E78" s="3">
        <v>-89.547184999999999</v>
      </c>
      <c r="F78" s="3" t="s">
        <v>568</v>
      </c>
      <c r="G78" s="3" t="s">
        <v>573</v>
      </c>
      <c r="H78" s="3" t="s">
        <v>400</v>
      </c>
      <c r="I78" s="3" t="s">
        <v>422</v>
      </c>
      <c r="J78" s="3" t="s">
        <v>545</v>
      </c>
      <c r="K78" s="3" t="s">
        <v>574</v>
      </c>
      <c r="L78" s="4">
        <v>42161</v>
      </c>
    </row>
    <row r="79" spans="1:12" x14ac:dyDescent="0.6">
      <c r="A79" s="3" t="s">
        <v>46</v>
      </c>
      <c r="B79" s="3" t="s">
        <v>43</v>
      </c>
      <c r="C79" s="3" t="s">
        <v>397</v>
      </c>
      <c r="D79" s="3">
        <v>32.358242099999998</v>
      </c>
      <c r="E79" s="3">
        <v>-89.547184999999999</v>
      </c>
      <c r="F79" s="3" t="s">
        <v>568</v>
      </c>
      <c r="G79" s="3" t="s">
        <v>575</v>
      </c>
      <c r="H79" s="3" t="s">
        <v>400</v>
      </c>
      <c r="I79" s="3" t="s">
        <v>422</v>
      </c>
      <c r="J79" s="3" t="s">
        <v>545</v>
      </c>
      <c r="K79" s="3" t="s">
        <v>576</v>
      </c>
      <c r="L79" s="4">
        <v>42161</v>
      </c>
    </row>
    <row r="80" spans="1:12" x14ac:dyDescent="0.6">
      <c r="A80" s="3" t="s">
        <v>47</v>
      </c>
      <c r="B80" s="3" t="s">
        <v>43</v>
      </c>
      <c r="C80" s="3" t="s">
        <v>397</v>
      </c>
      <c r="D80" s="3">
        <v>32.358242099999998</v>
      </c>
      <c r="E80" s="3">
        <v>-89.547184999999999</v>
      </c>
      <c r="F80" s="3" t="s">
        <v>568</v>
      </c>
      <c r="G80" s="3" t="s">
        <v>577</v>
      </c>
      <c r="H80" s="3" t="s">
        <v>400</v>
      </c>
      <c r="I80" s="3" t="s">
        <v>422</v>
      </c>
      <c r="J80" s="3" t="s">
        <v>545</v>
      </c>
      <c r="K80" s="3" t="s">
        <v>578</v>
      </c>
      <c r="L80" s="4">
        <v>42161</v>
      </c>
    </row>
    <row r="81" spans="1:12" x14ac:dyDescent="0.6">
      <c r="A81" s="3" t="s">
        <v>48</v>
      </c>
      <c r="B81" s="3" t="s">
        <v>43</v>
      </c>
      <c r="C81" s="3" t="s">
        <v>397</v>
      </c>
      <c r="D81" s="3">
        <v>32.358242099999998</v>
      </c>
      <c r="E81" s="3">
        <v>-89.547184999999999</v>
      </c>
      <c r="F81" s="3" t="s">
        <v>568</v>
      </c>
      <c r="G81" s="3" t="s">
        <v>579</v>
      </c>
      <c r="H81" s="3" t="s">
        <v>400</v>
      </c>
      <c r="I81" s="3" t="s">
        <v>422</v>
      </c>
      <c r="J81" s="3" t="s">
        <v>545</v>
      </c>
      <c r="K81" s="3" t="s">
        <v>580</v>
      </c>
      <c r="L81" s="4">
        <v>42161</v>
      </c>
    </row>
    <row r="82" spans="1:12" x14ac:dyDescent="0.6">
      <c r="A82" s="3" t="s">
        <v>49</v>
      </c>
      <c r="B82" s="3" t="s">
        <v>43</v>
      </c>
      <c r="C82" s="3" t="s">
        <v>397</v>
      </c>
      <c r="D82" s="3">
        <v>32.358242099999998</v>
      </c>
      <c r="E82" s="3">
        <v>-89.547184999999999</v>
      </c>
      <c r="F82" s="3" t="s">
        <v>568</v>
      </c>
      <c r="G82" s="3" t="s">
        <v>581</v>
      </c>
      <c r="H82" s="3" t="s">
        <v>400</v>
      </c>
      <c r="I82" s="3" t="s">
        <v>422</v>
      </c>
      <c r="J82" s="3" t="s">
        <v>545</v>
      </c>
      <c r="K82" s="3" t="s">
        <v>582</v>
      </c>
      <c r="L82" s="4">
        <v>42161</v>
      </c>
    </row>
    <row r="83" spans="1:12" x14ac:dyDescent="0.6">
      <c r="A83" s="3" t="s">
        <v>50</v>
      </c>
      <c r="B83" s="3" t="s">
        <v>43</v>
      </c>
      <c r="C83" s="3" t="s">
        <v>397</v>
      </c>
      <c r="D83" s="3">
        <v>32.358242099999998</v>
      </c>
      <c r="E83" s="3">
        <v>-89.547184999999999</v>
      </c>
      <c r="F83" s="3" t="s">
        <v>568</v>
      </c>
      <c r="G83" s="3" t="s">
        <v>583</v>
      </c>
      <c r="H83" s="3" t="s">
        <v>400</v>
      </c>
      <c r="I83" s="3" t="s">
        <v>422</v>
      </c>
      <c r="J83" s="3" t="s">
        <v>545</v>
      </c>
      <c r="K83" s="3" t="s">
        <v>584</v>
      </c>
      <c r="L83" s="4">
        <v>42161</v>
      </c>
    </row>
    <row r="84" spans="1:12" x14ac:dyDescent="0.6">
      <c r="A84" s="3" t="s">
        <v>133</v>
      </c>
      <c r="B84" s="3" t="s">
        <v>54</v>
      </c>
      <c r="C84" s="3" t="s">
        <v>397</v>
      </c>
      <c r="D84" s="3">
        <v>43.106610000000003</v>
      </c>
      <c r="E84" s="3">
        <v>-89.804349999999999</v>
      </c>
      <c r="F84" s="3" t="s">
        <v>585</v>
      </c>
      <c r="G84" s="3" t="s">
        <v>586</v>
      </c>
      <c r="H84" s="3" t="s">
        <v>400</v>
      </c>
      <c r="I84" s="3" t="s">
        <v>487</v>
      </c>
      <c r="J84" s="3" t="s">
        <v>587</v>
      </c>
      <c r="K84" s="3" t="s">
        <v>588</v>
      </c>
      <c r="L84" s="4">
        <v>42894</v>
      </c>
    </row>
    <row r="85" spans="1:12" x14ac:dyDescent="0.6">
      <c r="A85" s="3" t="s">
        <v>134</v>
      </c>
      <c r="B85" s="3" t="s">
        <v>11</v>
      </c>
      <c r="C85" s="3" t="s">
        <v>397</v>
      </c>
      <c r="D85" s="3">
        <v>43.10698</v>
      </c>
      <c r="E85" s="3">
        <v>-89.808250000000001</v>
      </c>
      <c r="F85" s="3" t="s">
        <v>585</v>
      </c>
      <c r="G85" s="3" t="s">
        <v>589</v>
      </c>
      <c r="H85" s="3" t="s">
        <v>400</v>
      </c>
      <c r="I85" s="3" t="s">
        <v>487</v>
      </c>
      <c r="J85" s="3" t="s">
        <v>587</v>
      </c>
      <c r="K85" s="3" t="s">
        <v>590</v>
      </c>
      <c r="L85" s="4">
        <v>42894</v>
      </c>
    </row>
    <row r="86" spans="1:12" x14ac:dyDescent="0.6">
      <c r="A86" s="3" t="s">
        <v>137</v>
      </c>
      <c r="B86" s="3" t="s">
        <v>11</v>
      </c>
      <c r="C86" s="3" t="s">
        <v>397</v>
      </c>
      <c r="D86" s="3">
        <v>42.042110000000001</v>
      </c>
      <c r="E86" s="3">
        <v>-93.606189999999998</v>
      </c>
      <c r="F86" s="3" t="s">
        <v>408</v>
      </c>
      <c r="G86" s="3" t="s">
        <v>591</v>
      </c>
      <c r="H86" s="3" t="s">
        <v>400</v>
      </c>
      <c r="I86" s="3" t="s">
        <v>410</v>
      </c>
      <c r="J86" s="3" t="s">
        <v>592</v>
      </c>
      <c r="K86" s="3" t="s">
        <v>593</v>
      </c>
      <c r="L86" s="4">
        <v>42900</v>
      </c>
    </row>
    <row r="87" spans="1:12" x14ac:dyDescent="0.6">
      <c r="A87" s="3" t="s">
        <v>139</v>
      </c>
      <c r="B87" s="3" t="s">
        <v>11</v>
      </c>
      <c r="C87" s="3" t="s">
        <v>397</v>
      </c>
      <c r="D87" s="3">
        <v>40.705599999999997</v>
      </c>
      <c r="E87" s="3">
        <v>-91.794160000000005</v>
      </c>
      <c r="F87" s="3" t="s">
        <v>594</v>
      </c>
      <c r="G87" s="3" t="s">
        <v>595</v>
      </c>
      <c r="H87" s="3" t="s">
        <v>400</v>
      </c>
      <c r="I87" s="3" t="s">
        <v>410</v>
      </c>
      <c r="J87" s="3" t="s">
        <v>596</v>
      </c>
      <c r="K87" s="3" t="s">
        <v>597</v>
      </c>
      <c r="L87" s="4">
        <v>42900</v>
      </c>
    </row>
    <row r="88" spans="1:12" x14ac:dyDescent="0.6">
      <c r="A88" s="3" t="s">
        <v>140</v>
      </c>
      <c r="B88" s="3" t="s">
        <v>54</v>
      </c>
      <c r="C88" s="3" t="s">
        <v>397</v>
      </c>
      <c r="D88" s="3">
        <v>40.706249999999997</v>
      </c>
      <c r="E88" s="3">
        <v>-91.79392</v>
      </c>
      <c r="F88" s="3" t="s">
        <v>594</v>
      </c>
      <c r="G88" s="3" t="s">
        <v>598</v>
      </c>
      <c r="H88" s="3" t="s">
        <v>400</v>
      </c>
      <c r="I88" s="3" t="s">
        <v>410</v>
      </c>
      <c r="J88" s="3" t="s">
        <v>596</v>
      </c>
      <c r="K88" s="3" t="s">
        <v>599</v>
      </c>
      <c r="L88" s="4">
        <v>42900</v>
      </c>
    </row>
    <row r="89" spans="1:12" x14ac:dyDescent="0.6">
      <c r="A89" s="3" t="s">
        <v>141</v>
      </c>
      <c r="B89" s="3" t="s">
        <v>96</v>
      </c>
      <c r="C89" s="3" t="s">
        <v>397</v>
      </c>
      <c r="D89" s="3">
        <v>40.704810000000002</v>
      </c>
      <c r="E89" s="3">
        <v>-91.79589</v>
      </c>
      <c r="F89" s="3" t="s">
        <v>594</v>
      </c>
      <c r="G89" s="3" t="s">
        <v>600</v>
      </c>
      <c r="H89" s="3" t="s">
        <v>400</v>
      </c>
      <c r="I89" s="3" t="s">
        <v>410</v>
      </c>
      <c r="J89" s="3" t="s">
        <v>596</v>
      </c>
      <c r="K89" s="3" t="s">
        <v>601</v>
      </c>
      <c r="L89" s="4">
        <v>42900</v>
      </c>
    </row>
    <row r="90" spans="1:12" x14ac:dyDescent="0.6">
      <c r="A90" s="3" t="s">
        <v>142</v>
      </c>
      <c r="B90" s="3" t="s">
        <v>43</v>
      </c>
      <c r="C90" s="3" t="s">
        <v>397</v>
      </c>
      <c r="D90" s="3">
        <v>37.972909999999999</v>
      </c>
      <c r="E90" s="3">
        <v>-92.762169999999998</v>
      </c>
      <c r="F90" s="3" t="s">
        <v>602</v>
      </c>
      <c r="G90" s="3" t="s">
        <v>603</v>
      </c>
      <c r="H90" s="3" t="s">
        <v>400</v>
      </c>
      <c r="I90" s="3" t="s">
        <v>604</v>
      </c>
      <c r="J90" s="3" t="s">
        <v>596</v>
      </c>
      <c r="K90" s="3" t="s">
        <v>605</v>
      </c>
      <c r="L90" s="4">
        <v>42905</v>
      </c>
    </row>
    <row r="91" spans="1:12" x14ac:dyDescent="0.6">
      <c r="A91" s="3" t="s">
        <v>143</v>
      </c>
      <c r="B91" s="3" t="s">
        <v>96</v>
      </c>
      <c r="C91" s="3" t="s">
        <v>397</v>
      </c>
      <c r="D91" s="3">
        <v>37.972999999999999</v>
      </c>
      <c r="E91" s="3">
        <v>-92.762169999999998</v>
      </c>
      <c r="F91" s="3" t="s">
        <v>602</v>
      </c>
      <c r="G91" s="3" t="s">
        <v>606</v>
      </c>
      <c r="H91" s="3" t="s">
        <v>400</v>
      </c>
      <c r="I91" s="3" t="s">
        <v>604</v>
      </c>
      <c r="J91" s="3" t="s">
        <v>596</v>
      </c>
      <c r="K91" s="3" t="s">
        <v>607</v>
      </c>
      <c r="L91" s="4">
        <v>42905</v>
      </c>
    </row>
    <row r="92" spans="1:12" x14ac:dyDescent="0.6">
      <c r="A92" s="3" t="s">
        <v>144</v>
      </c>
      <c r="B92" s="3" t="s">
        <v>54</v>
      </c>
      <c r="C92" s="3" t="s">
        <v>397</v>
      </c>
      <c r="D92" s="3">
        <v>37.97316</v>
      </c>
      <c r="E92" s="3">
        <v>-92.762270000000001</v>
      </c>
      <c r="F92" s="3" t="s">
        <v>602</v>
      </c>
      <c r="G92" s="3" t="s">
        <v>608</v>
      </c>
      <c r="H92" s="3" t="s">
        <v>400</v>
      </c>
      <c r="I92" s="3" t="s">
        <v>604</v>
      </c>
      <c r="J92" s="3" t="s">
        <v>596</v>
      </c>
      <c r="K92" s="3" t="s">
        <v>609</v>
      </c>
      <c r="L92" s="4">
        <v>42905</v>
      </c>
    </row>
    <row r="93" spans="1:12" x14ac:dyDescent="0.6">
      <c r="A93" s="3" t="s">
        <v>147</v>
      </c>
      <c r="B93" s="3" t="s">
        <v>43</v>
      </c>
      <c r="C93" s="3" t="s">
        <v>397</v>
      </c>
      <c r="D93" s="3">
        <v>36.849139999999998</v>
      </c>
      <c r="E93" s="3">
        <v>-96.415199999999999</v>
      </c>
      <c r="F93" s="3" t="s">
        <v>610</v>
      </c>
      <c r="G93" s="3" t="s">
        <v>611</v>
      </c>
      <c r="H93" s="3" t="s">
        <v>400</v>
      </c>
      <c r="I93" s="3" t="s">
        <v>612</v>
      </c>
      <c r="J93" s="3" t="s">
        <v>596</v>
      </c>
      <c r="K93" s="3" t="s">
        <v>613</v>
      </c>
      <c r="L93" s="4">
        <v>42906</v>
      </c>
    </row>
    <row r="94" spans="1:12" x14ac:dyDescent="0.6">
      <c r="A94" s="3" t="s">
        <v>148</v>
      </c>
      <c r="B94" s="3" t="s">
        <v>11</v>
      </c>
      <c r="C94" s="3" t="s">
        <v>397</v>
      </c>
      <c r="D94" s="3">
        <v>36.845039999999997</v>
      </c>
      <c r="E94" s="3">
        <v>-96.425259999999994</v>
      </c>
      <c r="F94" s="3" t="s">
        <v>610</v>
      </c>
      <c r="G94" s="3" t="s">
        <v>614</v>
      </c>
      <c r="H94" s="3" t="s">
        <v>400</v>
      </c>
      <c r="I94" s="3" t="s">
        <v>612</v>
      </c>
      <c r="J94" s="3" t="s">
        <v>596</v>
      </c>
      <c r="K94" s="3" t="s">
        <v>615</v>
      </c>
      <c r="L94" s="4">
        <v>42906</v>
      </c>
    </row>
    <row r="95" spans="1:12" x14ac:dyDescent="0.6">
      <c r="A95" s="3" t="s">
        <v>156</v>
      </c>
      <c r="B95" s="3" t="s">
        <v>96</v>
      </c>
      <c r="C95" s="3" t="s">
        <v>397</v>
      </c>
      <c r="D95" s="3">
        <v>35.448090000000001</v>
      </c>
      <c r="E95" s="3">
        <v>-98.353470000000002</v>
      </c>
      <c r="F95" s="3" t="s">
        <v>616</v>
      </c>
      <c r="G95" s="3" t="s">
        <v>617</v>
      </c>
      <c r="H95" s="3" t="s">
        <v>400</v>
      </c>
      <c r="I95" s="3" t="s">
        <v>612</v>
      </c>
      <c r="J95" s="3" t="s">
        <v>596</v>
      </c>
      <c r="K95" s="3" t="s">
        <v>618</v>
      </c>
      <c r="L95" s="4">
        <v>42907</v>
      </c>
    </row>
    <row r="96" spans="1:12" x14ac:dyDescent="0.6">
      <c r="A96" s="3" t="s">
        <v>162</v>
      </c>
      <c r="B96" s="3" t="s">
        <v>11</v>
      </c>
      <c r="C96" s="3" t="s">
        <v>397</v>
      </c>
      <c r="D96" s="3">
        <v>34.803840000000001</v>
      </c>
      <c r="E96" s="3">
        <v>-92.326340000000002</v>
      </c>
      <c r="F96" s="3" t="s">
        <v>543</v>
      </c>
      <c r="G96" s="3" t="s">
        <v>619</v>
      </c>
      <c r="H96" s="3" t="s">
        <v>400</v>
      </c>
      <c r="I96" s="3" t="s">
        <v>620</v>
      </c>
      <c r="J96" s="3" t="s">
        <v>621</v>
      </c>
      <c r="K96" s="3" t="s">
        <v>622</v>
      </c>
      <c r="L96" s="4">
        <v>42908</v>
      </c>
    </row>
    <row r="97" spans="1:12" x14ac:dyDescent="0.6">
      <c r="A97" s="3" t="s">
        <v>163</v>
      </c>
      <c r="B97" s="3" t="s">
        <v>54</v>
      </c>
      <c r="C97" s="3" t="s">
        <v>397</v>
      </c>
      <c r="D97" s="3">
        <v>34.802990000000001</v>
      </c>
      <c r="E97" s="3">
        <v>-92.325990000000004</v>
      </c>
      <c r="F97" s="3" t="s">
        <v>543</v>
      </c>
      <c r="G97" s="3" t="s">
        <v>623</v>
      </c>
      <c r="H97" s="3" t="s">
        <v>400</v>
      </c>
      <c r="I97" s="3" t="s">
        <v>620</v>
      </c>
      <c r="J97" s="3" t="s">
        <v>621</v>
      </c>
      <c r="K97" s="3" t="s">
        <v>624</v>
      </c>
      <c r="L97" s="4">
        <v>42908</v>
      </c>
    </row>
    <row r="98" spans="1:12" x14ac:dyDescent="0.6">
      <c r="A98" s="3" t="s">
        <v>172</v>
      </c>
      <c r="B98" s="3" t="s">
        <v>54</v>
      </c>
      <c r="C98" s="3" t="s">
        <v>397</v>
      </c>
      <c r="D98" s="3">
        <v>37.157290000000003</v>
      </c>
      <c r="E98" s="3">
        <v>-91.364990000000006</v>
      </c>
      <c r="F98" s="3" t="s">
        <v>625</v>
      </c>
      <c r="G98" s="3" t="s">
        <v>626</v>
      </c>
      <c r="H98" s="3" t="s">
        <v>400</v>
      </c>
      <c r="I98" s="3" t="s">
        <v>604</v>
      </c>
      <c r="J98" s="3" t="s">
        <v>596</v>
      </c>
      <c r="K98" s="3" t="s">
        <v>627</v>
      </c>
      <c r="L98" s="4">
        <v>42909</v>
      </c>
    </row>
    <row r="99" spans="1:12" x14ac:dyDescent="0.6">
      <c r="A99" s="3" t="s">
        <v>173</v>
      </c>
      <c r="B99" s="3" t="s">
        <v>11</v>
      </c>
      <c r="C99" s="3" t="s">
        <v>397</v>
      </c>
      <c r="D99" s="3">
        <v>37.156869999999998</v>
      </c>
      <c r="E99" s="3">
        <v>-91.364710000000002</v>
      </c>
      <c r="F99" s="3" t="s">
        <v>625</v>
      </c>
      <c r="G99" s="3" t="s">
        <v>628</v>
      </c>
      <c r="H99" s="3" t="s">
        <v>400</v>
      </c>
      <c r="I99" s="3" t="s">
        <v>604</v>
      </c>
      <c r="J99" s="3" t="s">
        <v>596</v>
      </c>
      <c r="K99" s="3" t="s">
        <v>629</v>
      </c>
      <c r="L99" s="4">
        <v>42909</v>
      </c>
    </row>
    <row r="100" spans="1:12" x14ac:dyDescent="0.6">
      <c r="A100" s="3" t="s">
        <v>135</v>
      </c>
      <c r="B100" s="3" t="s">
        <v>11</v>
      </c>
      <c r="C100" s="3" t="s">
        <v>397</v>
      </c>
      <c r="D100" s="3">
        <v>41.973599999999998</v>
      </c>
      <c r="E100" s="3">
        <v>-91.7239</v>
      </c>
      <c r="F100" s="3" t="s">
        <v>630</v>
      </c>
      <c r="G100" s="3" t="s">
        <v>631</v>
      </c>
      <c r="H100" s="3" t="s">
        <v>400</v>
      </c>
      <c r="I100" s="3" t="s">
        <v>410</v>
      </c>
      <c r="J100" s="3" t="s">
        <v>596</v>
      </c>
      <c r="K100" s="3" t="s">
        <v>632</v>
      </c>
      <c r="L100" s="4">
        <v>42899</v>
      </c>
    </row>
    <row r="101" spans="1:12" x14ac:dyDescent="0.6">
      <c r="A101" s="3" t="s">
        <v>152</v>
      </c>
      <c r="B101" s="3" t="s">
        <v>11</v>
      </c>
      <c r="C101" s="3" t="s">
        <v>397</v>
      </c>
      <c r="D101" s="3">
        <v>36.220399999999998</v>
      </c>
      <c r="E101" s="3">
        <v>-95.898449999999997</v>
      </c>
      <c r="F101" s="3" t="s">
        <v>633</v>
      </c>
      <c r="G101" s="3" t="s">
        <v>634</v>
      </c>
      <c r="H101" s="3" t="s">
        <v>400</v>
      </c>
      <c r="I101" s="3" t="s">
        <v>612</v>
      </c>
      <c r="J101" s="3" t="s">
        <v>596</v>
      </c>
      <c r="K101" s="3" t="s">
        <v>635</v>
      </c>
      <c r="L101" s="4">
        <v>42906</v>
      </c>
    </row>
    <row r="102" spans="1:12" x14ac:dyDescent="0.6">
      <c r="A102" s="3" t="s">
        <v>160</v>
      </c>
      <c r="B102" s="3" t="s">
        <v>11</v>
      </c>
      <c r="C102" s="3" t="s">
        <v>397</v>
      </c>
      <c r="D102" s="3">
        <v>35.176879999999997</v>
      </c>
      <c r="E102" s="3">
        <v>-97.449700000000007</v>
      </c>
      <c r="F102" s="3" t="s">
        <v>636</v>
      </c>
      <c r="G102" s="3" t="s">
        <v>637</v>
      </c>
      <c r="H102" s="3" t="s">
        <v>400</v>
      </c>
      <c r="I102" s="3" t="s">
        <v>612</v>
      </c>
      <c r="J102" s="3" t="s">
        <v>638</v>
      </c>
      <c r="K102" s="3" t="s">
        <v>639</v>
      </c>
      <c r="L102" s="4">
        <v>42907</v>
      </c>
    </row>
    <row r="103" spans="1:12" x14ac:dyDescent="0.6">
      <c r="A103" s="3" t="s">
        <v>175</v>
      </c>
      <c r="B103" s="3" t="s">
        <v>11</v>
      </c>
      <c r="C103" s="3" t="s">
        <v>397</v>
      </c>
      <c r="D103" s="3">
        <v>43.902920000000002</v>
      </c>
      <c r="E103" s="3">
        <v>-91.639960000000002</v>
      </c>
      <c r="F103" s="3" t="s">
        <v>640</v>
      </c>
      <c r="G103" s="3" t="s">
        <v>641</v>
      </c>
      <c r="H103" s="3" t="s">
        <v>400</v>
      </c>
      <c r="I103" s="3" t="s">
        <v>401</v>
      </c>
      <c r="J103" s="3" t="s">
        <v>642</v>
      </c>
      <c r="K103" s="3" t="s">
        <v>643</v>
      </c>
      <c r="L103" s="4">
        <v>42919</v>
      </c>
    </row>
    <row r="104" spans="1:12" x14ac:dyDescent="0.6">
      <c r="A104" s="3" t="s">
        <v>179</v>
      </c>
      <c r="B104" s="3" t="s">
        <v>11</v>
      </c>
      <c r="C104" s="3" t="s">
        <v>397</v>
      </c>
      <c r="D104" s="3">
        <v>49.761369999999999</v>
      </c>
      <c r="E104" s="3">
        <v>-99.160399999999996</v>
      </c>
      <c r="F104" s="3" t="s">
        <v>644</v>
      </c>
      <c r="G104" s="3" t="s">
        <v>645</v>
      </c>
      <c r="H104" s="3" t="s">
        <v>646</v>
      </c>
      <c r="I104" s="3" t="s">
        <v>647</v>
      </c>
      <c r="J104" s="3" t="s">
        <v>596</v>
      </c>
      <c r="K104" s="3" t="s">
        <v>648</v>
      </c>
      <c r="L104" s="4">
        <v>42923</v>
      </c>
    </row>
    <row r="105" spans="1:12" x14ac:dyDescent="0.6">
      <c r="A105" s="3" t="s">
        <v>181</v>
      </c>
      <c r="B105" s="3" t="s">
        <v>11</v>
      </c>
      <c r="C105" s="3" t="s">
        <v>397</v>
      </c>
      <c r="D105" s="3">
        <v>49.85783</v>
      </c>
      <c r="E105" s="3">
        <v>-97.249110000000002</v>
      </c>
      <c r="F105" s="3" t="s">
        <v>649</v>
      </c>
      <c r="G105" s="3" t="s">
        <v>650</v>
      </c>
      <c r="H105" s="3" t="s">
        <v>646</v>
      </c>
      <c r="I105" s="3" t="s">
        <v>647</v>
      </c>
      <c r="J105" s="3" t="s">
        <v>596</v>
      </c>
      <c r="K105" s="3" t="s">
        <v>651</v>
      </c>
      <c r="L105" s="4">
        <v>42923</v>
      </c>
    </row>
    <row r="106" spans="1:12" x14ac:dyDescent="0.6">
      <c r="A106" s="3" t="s">
        <v>183</v>
      </c>
      <c r="B106" s="3" t="s">
        <v>11</v>
      </c>
      <c r="C106" s="3" t="s">
        <v>397</v>
      </c>
      <c r="D106" s="3">
        <v>46.0259</v>
      </c>
      <c r="E106" s="3">
        <v>-91.142880000000005</v>
      </c>
      <c r="F106" s="3" t="s">
        <v>652</v>
      </c>
      <c r="G106" s="3" t="s">
        <v>653</v>
      </c>
      <c r="H106" s="3" t="s">
        <v>400</v>
      </c>
      <c r="I106" s="3" t="s">
        <v>487</v>
      </c>
      <c r="J106" s="3" t="s">
        <v>596</v>
      </c>
      <c r="K106" s="3" t="s">
        <v>654</v>
      </c>
      <c r="L106" s="4">
        <v>42925</v>
      </c>
    </row>
    <row r="107" spans="1:12" x14ac:dyDescent="0.6">
      <c r="A107" s="3" t="s">
        <v>185</v>
      </c>
      <c r="B107" s="3" t="s">
        <v>11</v>
      </c>
      <c r="C107" s="3" t="s">
        <v>397</v>
      </c>
      <c r="D107" s="3">
        <v>38.963585999999999</v>
      </c>
      <c r="E107" s="3">
        <v>-98.589060000000003</v>
      </c>
      <c r="F107" s="3" t="s">
        <v>655</v>
      </c>
      <c r="G107" s="3" t="s">
        <v>656</v>
      </c>
      <c r="H107" s="3" t="s">
        <v>400</v>
      </c>
      <c r="I107" s="3" t="s">
        <v>657</v>
      </c>
      <c r="J107" s="3" t="s">
        <v>658</v>
      </c>
      <c r="K107" s="3" t="s">
        <v>659</v>
      </c>
      <c r="L107" s="3" t="s">
        <v>422</v>
      </c>
    </row>
    <row r="108" spans="1:12" x14ac:dyDescent="0.6">
      <c r="A108" s="3" t="s">
        <v>191</v>
      </c>
      <c r="B108" s="3" t="s">
        <v>11</v>
      </c>
      <c r="C108" s="3" t="s">
        <v>397</v>
      </c>
      <c r="D108" s="3">
        <v>39.839311000000002</v>
      </c>
      <c r="E108" s="3">
        <v>-88.367744999999999</v>
      </c>
      <c r="F108" s="3" t="s">
        <v>660</v>
      </c>
      <c r="G108" s="3" t="s">
        <v>661</v>
      </c>
      <c r="H108" s="3" t="s">
        <v>400</v>
      </c>
      <c r="I108" s="3" t="s">
        <v>445</v>
      </c>
      <c r="J108" s="3" t="s">
        <v>658</v>
      </c>
      <c r="K108" s="3" t="s">
        <v>662</v>
      </c>
      <c r="L108" s="3" t="s">
        <v>422</v>
      </c>
    </row>
    <row r="109" spans="1:12" x14ac:dyDescent="0.6">
      <c r="A109" s="3" t="s">
        <v>192</v>
      </c>
      <c r="B109" s="3" t="s">
        <v>54</v>
      </c>
      <c r="C109" s="3" t="s">
        <v>397</v>
      </c>
      <c r="D109" s="3">
        <v>39.839311000000002</v>
      </c>
      <c r="E109" s="3">
        <v>-88.367744999999999</v>
      </c>
      <c r="F109" s="3" t="s">
        <v>660</v>
      </c>
      <c r="G109" s="3" t="s">
        <v>663</v>
      </c>
      <c r="H109" s="3" t="s">
        <v>400</v>
      </c>
      <c r="I109" s="3" t="s">
        <v>445</v>
      </c>
      <c r="J109" s="3" t="s">
        <v>658</v>
      </c>
      <c r="K109" s="3" t="s">
        <v>664</v>
      </c>
      <c r="L109" s="3" t="s">
        <v>422</v>
      </c>
    </row>
    <row r="110" spans="1:12" x14ac:dyDescent="0.6">
      <c r="A110" s="3" t="s">
        <v>194</v>
      </c>
      <c r="B110" s="3" t="s">
        <v>11</v>
      </c>
      <c r="C110" s="3" t="s">
        <v>397</v>
      </c>
      <c r="D110" s="3">
        <v>37.514919999999996</v>
      </c>
      <c r="E110" s="3">
        <v>-89.444500000000005</v>
      </c>
      <c r="F110" s="3" t="s">
        <v>665</v>
      </c>
      <c r="G110" s="3" t="s">
        <v>666</v>
      </c>
      <c r="H110" s="3" t="s">
        <v>400</v>
      </c>
      <c r="I110" s="3" t="s">
        <v>445</v>
      </c>
      <c r="J110" s="3" t="s">
        <v>596</v>
      </c>
      <c r="K110" s="3" t="s">
        <v>667</v>
      </c>
      <c r="L110" s="4">
        <v>42941</v>
      </c>
    </row>
    <row r="111" spans="1:12" x14ac:dyDescent="0.6">
      <c r="A111" s="3" t="s">
        <v>195</v>
      </c>
      <c r="B111" s="3" t="s">
        <v>11</v>
      </c>
      <c r="C111" s="3" t="s">
        <v>397</v>
      </c>
      <c r="D111" s="3">
        <v>37.516390000000001</v>
      </c>
      <c r="E111" s="3">
        <v>-89.445350000000005</v>
      </c>
      <c r="F111" s="3" t="s">
        <v>665</v>
      </c>
      <c r="G111" s="3" t="s">
        <v>668</v>
      </c>
      <c r="H111" s="3" t="s">
        <v>400</v>
      </c>
      <c r="I111" s="3" t="s">
        <v>445</v>
      </c>
      <c r="J111" s="3" t="s">
        <v>596</v>
      </c>
      <c r="K111" s="3" t="s">
        <v>669</v>
      </c>
      <c r="L111" s="4">
        <v>42941</v>
      </c>
    </row>
    <row r="112" spans="1:12" x14ac:dyDescent="0.6">
      <c r="A112" s="3" t="s">
        <v>198</v>
      </c>
      <c r="B112" s="3" t="s">
        <v>11</v>
      </c>
      <c r="C112" s="3" t="s">
        <v>397</v>
      </c>
      <c r="D112" s="3">
        <v>38.736199999999997</v>
      </c>
      <c r="E112" s="3">
        <v>-86.412570000000002</v>
      </c>
      <c r="F112" s="3" t="s">
        <v>670</v>
      </c>
      <c r="G112" s="3" t="s">
        <v>671</v>
      </c>
      <c r="H112" s="3" t="s">
        <v>400</v>
      </c>
      <c r="I112" s="3" t="s">
        <v>672</v>
      </c>
      <c r="J112" s="3" t="s">
        <v>596</v>
      </c>
      <c r="K112" s="3" t="s">
        <v>673</v>
      </c>
      <c r="L112" s="4">
        <v>42942</v>
      </c>
    </row>
    <row r="113" spans="1:12" x14ac:dyDescent="0.6">
      <c r="A113" s="3" t="s">
        <v>200</v>
      </c>
      <c r="B113" s="3" t="s">
        <v>54</v>
      </c>
      <c r="C113" s="3" t="s">
        <v>397</v>
      </c>
      <c r="D113" s="3">
        <v>38.736310000000003</v>
      </c>
      <c r="E113" s="3">
        <v>-86.414339999999996</v>
      </c>
      <c r="F113" s="3" t="s">
        <v>670</v>
      </c>
      <c r="G113" s="3" t="s">
        <v>674</v>
      </c>
      <c r="H113" s="3" t="s">
        <v>400</v>
      </c>
      <c r="I113" s="3" t="s">
        <v>672</v>
      </c>
      <c r="J113" s="3" t="s">
        <v>596</v>
      </c>
      <c r="K113" s="3" t="s">
        <v>675</v>
      </c>
      <c r="L113" s="4">
        <v>42942</v>
      </c>
    </row>
    <row r="114" spans="1:12" x14ac:dyDescent="0.6">
      <c r="A114" s="3" t="s">
        <v>202</v>
      </c>
      <c r="B114" s="3" t="s">
        <v>96</v>
      </c>
      <c r="C114" s="3" t="s">
        <v>397</v>
      </c>
      <c r="D114" s="3">
        <v>38.737430000000003</v>
      </c>
      <c r="E114" s="3">
        <v>-86.412629999999993</v>
      </c>
      <c r="F114" s="3" t="s">
        <v>670</v>
      </c>
      <c r="G114" s="3" t="s">
        <v>676</v>
      </c>
      <c r="H114" s="3" t="s">
        <v>400</v>
      </c>
      <c r="I114" s="3" t="s">
        <v>672</v>
      </c>
      <c r="J114" s="3" t="s">
        <v>596</v>
      </c>
      <c r="K114" s="3" t="s">
        <v>677</v>
      </c>
      <c r="L114" s="4">
        <v>42942</v>
      </c>
    </row>
    <row r="115" spans="1:12" x14ac:dyDescent="0.6">
      <c r="A115" s="3" t="s">
        <v>205</v>
      </c>
      <c r="B115" s="3" t="s">
        <v>11</v>
      </c>
      <c r="C115" s="3" t="s">
        <v>397</v>
      </c>
      <c r="D115" s="3">
        <v>40.459159999999997</v>
      </c>
      <c r="E115" s="3">
        <v>-85.508070000000004</v>
      </c>
      <c r="F115" s="3" t="s">
        <v>678</v>
      </c>
      <c r="G115" s="3" t="s">
        <v>679</v>
      </c>
      <c r="H115" s="3" t="s">
        <v>400</v>
      </c>
      <c r="I115" s="3" t="s">
        <v>672</v>
      </c>
      <c r="J115" s="3" t="s">
        <v>596</v>
      </c>
      <c r="K115" s="3" t="s">
        <v>680</v>
      </c>
      <c r="L115" s="4">
        <v>42943</v>
      </c>
    </row>
    <row r="116" spans="1:12" x14ac:dyDescent="0.6">
      <c r="A116" s="3" t="s">
        <v>207</v>
      </c>
      <c r="B116" s="3" t="s">
        <v>54</v>
      </c>
      <c r="C116" s="3" t="s">
        <v>397</v>
      </c>
      <c r="D116" s="3">
        <v>40.459110000000003</v>
      </c>
      <c r="E116" s="3">
        <v>-85.509169999999997</v>
      </c>
      <c r="F116" s="3" t="s">
        <v>678</v>
      </c>
      <c r="G116" s="3" t="s">
        <v>681</v>
      </c>
      <c r="H116" s="3" t="s">
        <v>400</v>
      </c>
      <c r="I116" s="3" t="s">
        <v>672</v>
      </c>
      <c r="J116" s="3" t="s">
        <v>596</v>
      </c>
      <c r="K116" s="3" t="s">
        <v>682</v>
      </c>
      <c r="L116" s="4">
        <v>42943</v>
      </c>
    </row>
    <row r="117" spans="1:12" x14ac:dyDescent="0.6">
      <c r="A117" s="3" t="s">
        <v>212</v>
      </c>
      <c r="B117" s="3" t="s">
        <v>54</v>
      </c>
      <c r="C117" s="3" t="s">
        <v>397</v>
      </c>
      <c r="D117" s="3">
        <v>41.657380000000003</v>
      </c>
      <c r="E117" s="3">
        <v>-87.060450000000003</v>
      </c>
      <c r="F117" s="3" t="s">
        <v>683</v>
      </c>
      <c r="G117" s="3" t="s">
        <v>684</v>
      </c>
      <c r="H117" s="3" t="s">
        <v>400</v>
      </c>
      <c r="I117" s="3" t="s">
        <v>672</v>
      </c>
      <c r="J117" s="3" t="s">
        <v>685</v>
      </c>
      <c r="K117" s="3" t="s">
        <v>686</v>
      </c>
      <c r="L117" s="4">
        <v>42957</v>
      </c>
    </row>
    <row r="118" spans="1:12" x14ac:dyDescent="0.6">
      <c r="A118" s="3" t="s">
        <v>215</v>
      </c>
      <c r="B118" s="3" t="s">
        <v>11</v>
      </c>
      <c r="C118" s="3" t="s">
        <v>397</v>
      </c>
      <c r="D118" s="3">
        <v>41.962330199999997</v>
      </c>
      <c r="E118" s="3">
        <v>-73.313005000000004</v>
      </c>
      <c r="F118" s="3" t="s">
        <v>687</v>
      </c>
      <c r="G118" s="3" t="s">
        <v>688</v>
      </c>
      <c r="H118" s="3" t="s">
        <v>400</v>
      </c>
      <c r="I118" s="3" t="s">
        <v>689</v>
      </c>
      <c r="J118" s="3" t="s">
        <v>690</v>
      </c>
      <c r="K118" s="3" t="s">
        <v>691</v>
      </c>
      <c r="L118" s="4">
        <v>42960</v>
      </c>
    </row>
    <row r="119" spans="1:12" x14ac:dyDescent="0.6">
      <c r="A119" s="3" t="s">
        <v>217</v>
      </c>
      <c r="B119" s="3" t="s">
        <v>11</v>
      </c>
      <c r="C119" s="3" t="s">
        <v>397</v>
      </c>
      <c r="D119" s="3">
        <v>42.166649399999997</v>
      </c>
      <c r="E119" s="3">
        <v>-73.412090000000006</v>
      </c>
      <c r="F119" s="3" t="s">
        <v>692</v>
      </c>
      <c r="G119" s="3" t="s">
        <v>693</v>
      </c>
      <c r="H119" s="3" t="s">
        <v>400</v>
      </c>
      <c r="I119" s="3" t="s">
        <v>694</v>
      </c>
      <c r="J119" s="3" t="s">
        <v>690</v>
      </c>
      <c r="K119" s="3" t="s">
        <v>695</v>
      </c>
      <c r="L119" s="4">
        <v>42960</v>
      </c>
    </row>
    <row r="120" spans="1:12" x14ac:dyDescent="0.6">
      <c r="A120" s="3" t="s">
        <v>221</v>
      </c>
      <c r="B120" s="3" t="s">
        <v>54</v>
      </c>
      <c r="C120" s="3" t="s">
        <v>397</v>
      </c>
      <c r="D120" s="3">
        <v>43.604683000000001</v>
      </c>
      <c r="E120" s="3">
        <v>-73.180401000000003</v>
      </c>
      <c r="F120" s="3" t="s">
        <v>696</v>
      </c>
      <c r="G120" s="3" t="s">
        <v>697</v>
      </c>
      <c r="H120" s="3" t="s">
        <v>400</v>
      </c>
      <c r="I120" s="3" t="s">
        <v>698</v>
      </c>
      <c r="J120" s="3" t="s">
        <v>690</v>
      </c>
      <c r="K120" s="3" t="s">
        <v>699</v>
      </c>
      <c r="L120" s="4">
        <v>42960</v>
      </c>
    </row>
    <row r="121" spans="1:12" x14ac:dyDescent="0.6">
      <c r="A121" s="3" t="s">
        <v>231</v>
      </c>
      <c r="B121" s="3" t="s">
        <v>11</v>
      </c>
      <c r="C121" s="3" t="s">
        <v>397</v>
      </c>
      <c r="D121" s="3">
        <v>44.400681400000003</v>
      </c>
      <c r="E121" s="3">
        <v>-73.237570000000005</v>
      </c>
      <c r="F121" s="3" t="s">
        <v>700</v>
      </c>
      <c r="G121" s="3" t="s">
        <v>701</v>
      </c>
      <c r="H121" s="3" t="s">
        <v>400</v>
      </c>
      <c r="I121" s="3" t="s">
        <v>698</v>
      </c>
      <c r="J121" s="3" t="s">
        <v>690</v>
      </c>
      <c r="K121" s="3" t="s">
        <v>702</v>
      </c>
      <c r="L121" s="4">
        <v>42961</v>
      </c>
    </row>
    <row r="122" spans="1:12" x14ac:dyDescent="0.6">
      <c r="A122" s="3" t="s">
        <v>703</v>
      </c>
      <c r="B122" s="3" t="s">
        <v>54</v>
      </c>
      <c r="C122" s="3" t="s">
        <v>397</v>
      </c>
      <c r="D122" s="3">
        <v>44.446394699999999</v>
      </c>
      <c r="E122" s="3">
        <v>-73.220153999999994</v>
      </c>
      <c r="F122" s="3" t="s">
        <v>700</v>
      </c>
      <c r="G122" s="3" t="s">
        <v>704</v>
      </c>
      <c r="H122" s="3" t="s">
        <v>400</v>
      </c>
      <c r="I122" s="3" t="s">
        <v>698</v>
      </c>
      <c r="J122" s="3" t="s">
        <v>690</v>
      </c>
      <c r="K122" s="3" t="s">
        <v>705</v>
      </c>
      <c r="L122" s="4">
        <v>42961</v>
      </c>
    </row>
    <row r="123" spans="1:12" x14ac:dyDescent="0.6">
      <c r="A123" s="3" t="s">
        <v>240</v>
      </c>
      <c r="B123" s="3" t="s">
        <v>11</v>
      </c>
      <c r="C123" s="3" t="s">
        <v>397</v>
      </c>
      <c r="D123" s="3">
        <v>38.510890000000003</v>
      </c>
      <c r="E123" s="3">
        <v>-90.559870000000004</v>
      </c>
      <c r="F123" s="3" t="s">
        <v>706</v>
      </c>
      <c r="G123" s="3" t="s">
        <v>707</v>
      </c>
      <c r="H123" s="3" t="s">
        <v>400</v>
      </c>
      <c r="I123" s="3" t="s">
        <v>604</v>
      </c>
      <c r="J123" s="3" t="s">
        <v>708</v>
      </c>
      <c r="K123" s="3" t="s">
        <v>709</v>
      </c>
      <c r="L123" s="4">
        <v>42935</v>
      </c>
    </row>
    <row r="124" spans="1:12" x14ac:dyDescent="0.6">
      <c r="A124" s="3" t="s">
        <v>241</v>
      </c>
      <c r="B124" s="3" t="s">
        <v>43</v>
      </c>
      <c r="C124" s="3" t="s">
        <v>397</v>
      </c>
      <c r="D124" s="3">
        <v>38.51146</v>
      </c>
      <c r="E124" s="3">
        <v>-90.559169999999995</v>
      </c>
      <c r="F124" s="3" t="s">
        <v>706</v>
      </c>
      <c r="G124" s="3" t="s">
        <v>710</v>
      </c>
      <c r="H124" s="3" t="s">
        <v>400</v>
      </c>
      <c r="I124" s="3" t="s">
        <v>604</v>
      </c>
      <c r="J124" s="3" t="s">
        <v>708</v>
      </c>
      <c r="K124" s="3" t="s">
        <v>711</v>
      </c>
      <c r="L124" s="4">
        <v>42935</v>
      </c>
    </row>
    <row r="125" spans="1:12" x14ac:dyDescent="0.6">
      <c r="A125" s="3" t="s">
        <v>242</v>
      </c>
      <c r="B125" s="3" t="s">
        <v>96</v>
      </c>
      <c r="C125" s="3" t="s">
        <v>397</v>
      </c>
      <c r="D125" s="3">
        <v>38.51135</v>
      </c>
      <c r="E125" s="3">
        <v>-90.559209999999993</v>
      </c>
      <c r="F125" s="3" t="s">
        <v>706</v>
      </c>
      <c r="G125" s="3" t="s">
        <v>712</v>
      </c>
      <c r="H125" s="3" t="s">
        <v>400</v>
      </c>
      <c r="I125" s="3" t="s">
        <v>604</v>
      </c>
      <c r="J125" s="3" t="s">
        <v>708</v>
      </c>
      <c r="K125" s="3" t="s">
        <v>713</v>
      </c>
      <c r="L125" s="4">
        <v>42935</v>
      </c>
    </row>
    <row r="126" spans="1:12" x14ac:dyDescent="0.6">
      <c r="A126" s="3" t="s">
        <v>245</v>
      </c>
      <c r="B126" s="3" t="s">
        <v>29</v>
      </c>
      <c r="C126" s="3" t="s">
        <v>397</v>
      </c>
      <c r="D126" s="3">
        <v>38.226669999999999</v>
      </c>
      <c r="E126" s="3">
        <v>-91.08296</v>
      </c>
      <c r="F126" s="3" t="s">
        <v>714</v>
      </c>
      <c r="G126" s="3" t="s">
        <v>715</v>
      </c>
      <c r="H126" s="3" t="s">
        <v>400</v>
      </c>
      <c r="I126" s="3" t="s">
        <v>604</v>
      </c>
      <c r="J126" s="3" t="s">
        <v>708</v>
      </c>
      <c r="K126" s="3" t="s">
        <v>716</v>
      </c>
      <c r="L126" s="4">
        <v>42936</v>
      </c>
    </row>
    <row r="127" spans="1:12" x14ac:dyDescent="0.6">
      <c r="A127" s="3" t="s">
        <v>247</v>
      </c>
      <c r="B127" s="3" t="s">
        <v>43</v>
      </c>
      <c r="C127" s="3" t="s">
        <v>397</v>
      </c>
      <c r="D127" s="3">
        <v>38.218130000000002</v>
      </c>
      <c r="E127" s="3">
        <v>-91.083550000000002</v>
      </c>
      <c r="F127" s="3" t="s">
        <v>714</v>
      </c>
      <c r="G127" s="3" t="s">
        <v>717</v>
      </c>
      <c r="H127" s="3" t="s">
        <v>400</v>
      </c>
      <c r="I127" s="3" t="s">
        <v>604</v>
      </c>
      <c r="J127" s="3" t="s">
        <v>708</v>
      </c>
      <c r="K127" s="3" t="s">
        <v>718</v>
      </c>
      <c r="L127" s="4">
        <v>42936</v>
      </c>
    </row>
    <row r="128" spans="1:12" x14ac:dyDescent="0.6">
      <c r="A128" s="3" t="s">
        <v>248</v>
      </c>
      <c r="B128" s="3" t="s">
        <v>54</v>
      </c>
      <c r="C128" s="3" t="s">
        <v>397</v>
      </c>
      <c r="D128" s="3">
        <v>38.217179999999999</v>
      </c>
      <c r="E128" s="3">
        <v>-91.086359999999999</v>
      </c>
      <c r="F128" s="3" t="s">
        <v>714</v>
      </c>
      <c r="G128" s="3" t="s">
        <v>719</v>
      </c>
      <c r="H128" s="3" t="s">
        <v>400</v>
      </c>
      <c r="I128" s="3" t="s">
        <v>604</v>
      </c>
      <c r="J128" s="3" t="s">
        <v>708</v>
      </c>
      <c r="K128" s="3" t="s">
        <v>720</v>
      </c>
      <c r="L128" s="4">
        <v>42936</v>
      </c>
    </row>
    <row r="129" spans="1:12" x14ac:dyDescent="0.6">
      <c r="A129" s="3" t="s">
        <v>250</v>
      </c>
      <c r="B129" s="3" t="s">
        <v>43</v>
      </c>
      <c r="C129" s="3" t="s">
        <v>397</v>
      </c>
      <c r="D129" s="3">
        <v>38.217860000000002</v>
      </c>
      <c r="E129" s="3">
        <v>-91.092089999999999</v>
      </c>
      <c r="F129" s="3" t="s">
        <v>714</v>
      </c>
      <c r="G129" s="3" t="s">
        <v>721</v>
      </c>
      <c r="H129" s="3" t="s">
        <v>400</v>
      </c>
      <c r="I129" s="3" t="s">
        <v>604</v>
      </c>
      <c r="J129" s="3" t="s">
        <v>708</v>
      </c>
      <c r="K129" s="3" t="s">
        <v>722</v>
      </c>
      <c r="L129" s="4">
        <v>42936</v>
      </c>
    </row>
    <row r="130" spans="1:12" x14ac:dyDescent="0.6">
      <c r="A130" s="3" t="s">
        <v>256</v>
      </c>
      <c r="B130" s="3" t="s">
        <v>96</v>
      </c>
      <c r="C130" s="3" t="s">
        <v>397</v>
      </c>
      <c r="D130" s="3">
        <v>38.978870000000001</v>
      </c>
      <c r="E130" s="3">
        <v>-94.804950000000005</v>
      </c>
      <c r="F130" s="3" t="s">
        <v>723</v>
      </c>
      <c r="G130" s="3" t="s">
        <v>724</v>
      </c>
      <c r="H130" s="3" t="s">
        <v>400</v>
      </c>
      <c r="I130" s="3" t="s">
        <v>657</v>
      </c>
      <c r="J130" s="3" t="s">
        <v>725</v>
      </c>
      <c r="K130" s="3" t="s">
        <v>726</v>
      </c>
      <c r="L130" s="4">
        <v>42914</v>
      </c>
    </row>
    <row r="131" spans="1:12" x14ac:dyDescent="0.6">
      <c r="A131" s="3" t="s">
        <v>257</v>
      </c>
      <c r="B131" s="3" t="s">
        <v>11</v>
      </c>
      <c r="C131" s="3" t="s">
        <v>397</v>
      </c>
      <c r="D131" s="3">
        <v>38.980069999999998</v>
      </c>
      <c r="E131" s="3">
        <v>-94.805199999999999</v>
      </c>
      <c r="F131" s="3" t="s">
        <v>723</v>
      </c>
      <c r="G131" s="3" t="s">
        <v>727</v>
      </c>
      <c r="H131" s="3" t="s">
        <v>400</v>
      </c>
      <c r="I131" s="3" t="s">
        <v>657</v>
      </c>
      <c r="J131" s="3" t="s">
        <v>725</v>
      </c>
      <c r="K131" s="3" t="s">
        <v>728</v>
      </c>
      <c r="L131" s="4">
        <v>42914</v>
      </c>
    </row>
    <row r="132" spans="1:12" x14ac:dyDescent="0.6">
      <c r="A132" s="3" t="s">
        <v>258</v>
      </c>
      <c r="B132" s="3" t="s">
        <v>43</v>
      </c>
      <c r="C132" s="3" t="s">
        <v>397</v>
      </c>
      <c r="D132" s="3">
        <v>38.980139999999999</v>
      </c>
      <c r="E132" s="3">
        <v>-94.805040000000005</v>
      </c>
      <c r="F132" s="3" t="s">
        <v>723</v>
      </c>
      <c r="G132" s="3" t="s">
        <v>729</v>
      </c>
      <c r="H132" s="3" t="s">
        <v>400</v>
      </c>
      <c r="I132" s="3" t="s">
        <v>657</v>
      </c>
      <c r="J132" s="3" t="s">
        <v>725</v>
      </c>
      <c r="K132" s="3" t="s">
        <v>730</v>
      </c>
      <c r="L132" s="4">
        <v>42914</v>
      </c>
    </row>
    <row r="133" spans="1:12" x14ac:dyDescent="0.6">
      <c r="A133" s="3" t="s">
        <v>259</v>
      </c>
      <c r="B133" s="3" t="s">
        <v>54</v>
      </c>
      <c r="C133" s="3" t="s">
        <v>397</v>
      </c>
      <c r="D133" s="3">
        <v>38.9803</v>
      </c>
      <c r="E133" s="3">
        <v>-94.805319999999995</v>
      </c>
      <c r="F133" s="3" t="s">
        <v>723</v>
      </c>
      <c r="G133" s="3" t="s">
        <v>731</v>
      </c>
      <c r="H133" s="3" t="s">
        <v>400</v>
      </c>
      <c r="I133" s="3" t="s">
        <v>657</v>
      </c>
      <c r="J133" s="3" t="s">
        <v>725</v>
      </c>
      <c r="K133" s="3" t="s">
        <v>732</v>
      </c>
      <c r="L133" s="4">
        <v>42914</v>
      </c>
    </row>
    <row r="134" spans="1:12" x14ac:dyDescent="0.6">
      <c r="A134" s="3" t="s">
        <v>267</v>
      </c>
      <c r="B134" s="3" t="s">
        <v>96</v>
      </c>
      <c r="C134" s="3" t="s">
        <v>397</v>
      </c>
      <c r="D134" s="3">
        <v>38.808700000000002</v>
      </c>
      <c r="E134" s="3">
        <v>-95.193889999999996</v>
      </c>
      <c r="F134" s="3" t="s">
        <v>733</v>
      </c>
      <c r="G134" s="3" t="s">
        <v>734</v>
      </c>
      <c r="H134" s="3" t="s">
        <v>400</v>
      </c>
      <c r="I134" s="3" t="s">
        <v>657</v>
      </c>
      <c r="J134" s="3" t="s">
        <v>725</v>
      </c>
      <c r="K134" s="3" t="s">
        <v>735</v>
      </c>
      <c r="L134" s="4">
        <v>42914</v>
      </c>
    </row>
    <row r="135" spans="1:12" x14ac:dyDescent="0.6">
      <c r="A135" s="3" t="s">
        <v>271</v>
      </c>
      <c r="B135" s="3" t="s">
        <v>11</v>
      </c>
      <c r="C135" s="3" t="s">
        <v>397</v>
      </c>
      <c r="D135" s="3">
        <v>39.103389999999997</v>
      </c>
      <c r="E135" s="3">
        <v>-96.596159999999998</v>
      </c>
      <c r="F135" s="3" t="s">
        <v>736</v>
      </c>
      <c r="G135" s="3" t="s">
        <v>737</v>
      </c>
      <c r="H135" s="3" t="s">
        <v>400</v>
      </c>
      <c r="I135" s="3" t="s">
        <v>657</v>
      </c>
      <c r="J135" s="3" t="s">
        <v>596</v>
      </c>
      <c r="K135" s="3" t="s">
        <v>738</v>
      </c>
      <c r="L135" s="4">
        <v>42915</v>
      </c>
    </row>
    <row r="136" spans="1:12" x14ac:dyDescent="0.6">
      <c r="A136" s="3" t="s">
        <v>272</v>
      </c>
      <c r="B136" s="3" t="s">
        <v>96</v>
      </c>
      <c r="C136" s="3" t="s">
        <v>397</v>
      </c>
      <c r="D136" s="3">
        <v>39.101579999999998</v>
      </c>
      <c r="E136" s="3">
        <v>-96.599819999999994</v>
      </c>
      <c r="F136" s="3" t="s">
        <v>736</v>
      </c>
      <c r="G136" s="3" t="s">
        <v>739</v>
      </c>
      <c r="H136" s="3" t="s">
        <v>400</v>
      </c>
      <c r="I136" s="3" t="s">
        <v>657</v>
      </c>
      <c r="J136" s="3" t="s">
        <v>596</v>
      </c>
      <c r="K136" s="3" t="s">
        <v>740</v>
      </c>
      <c r="L136" s="4">
        <v>42915</v>
      </c>
    </row>
    <row r="137" spans="1:12" x14ac:dyDescent="0.6">
      <c r="A137" s="3" t="s">
        <v>273</v>
      </c>
      <c r="B137" s="3" t="s">
        <v>11</v>
      </c>
      <c r="C137" s="3" t="s">
        <v>397</v>
      </c>
      <c r="D137" s="3">
        <v>39.107909999999997</v>
      </c>
      <c r="E137" s="3">
        <v>-96.604690000000005</v>
      </c>
      <c r="F137" s="3" t="s">
        <v>736</v>
      </c>
      <c r="G137" s="3" t="s">
        <v>741</v>
      </c>
      <c r="H137" s="3" t="s">
        <v>400</v>
      </c>
      <c r="I137" s="3" t="s">
        <v>657</v>
      </c>
      <c r="J137" s="3" t="s">
        <v>596</v>
      </c>
      <c r="K137" s="3" t="s">
        <v>742</v>
      </c>
      <c r="L137" s="4">
        <v>42915</v>
      </c>
    </row>
    <row r="138" spans="1:12" x14ac:dyDescent="0.6">
      <c r="A138" s="3" t="s">
        <v>280</v>
      </c>
      <c r="B138" s="3" t="s">
        <v>11</v>
      </c>
      <c r="C138" s="3" t="s">
        <v>397</v>
      </c>
      <c r="D138" s="3">
        <v>43.853230000000003</v>
      </c>
      <c r="E138" s="3">
        <v>-83.923000000000002</v>
      </c>
      <c r="F138" s="3" t="s">
        <v>743</v>
      </c>
      <c r="G138" s="3" t="s">
        <v>744</v>
      </c>
      <c r="H138" s="3" t="s">
        <v>400</v>
      </c>
      <c r="I138" s="3" t="s">
        <v>745</v>
      </c>
      <c r="J138" s="3" t="s">
        <v>685</v>
      </c>
      <c r="K138" s="3" t="s">
        <v>746</v>
      </c>
      <c r="L138" s="4">
        <v>42963</v>
      </c>
    </row>
    <row r="139" spans="1:12" x14ac:dyDescent="0.6">
      <c r="A139" s="3" t="s">
        <v>283</v>
      </c>
      <c r="B139" s="3" t="s">
        <v>11</v>
      </c>
      <c r="C139" s="3" t="s">
        <v>397</v>
      </c>
      <c r="D139" s="3">
        <v>42.30836</v>
      </c>
      <c r="E139" s="3">
        <v>-83.756709999999998</v>
      </c>
      <c r="F139" s="3" t="s">
        <v>747</v>
      </c>
      <c r="G139" s="3" t="s">
        <v>748</v>
      </c>
      <c r="H139" s="3" t="s">
        <v>400</v>
      </c>
      <c r="I139" s="3" t="s">
        <v>745</v>
      </c>
      <c r="J139" s="3" t="s">
        <v>685</v>
      </c>
      <c r="K139" s="3" t="s">
        <v>749</v>
      </c>
      <c r="L139" s="4">
        <v>42963</v>
      </c>
    </row>
    <row r="140" spans="1:12" x14ac:dyDescent="0.6">
      <c r="A140" s="3" t="s">
        <v>284</v>
      </c>
      <c r="B140" s="3" t="s">
        <v>54</v>
      </c>
      <c r="C140" s="3" t="s">
        <v>397</v>
      </c>
      <c r="D140" s="3">
        <v>42.304740000000002</v>
      </c>
      <c r="E140" s="3">
        <v>-83.750799999999998</v>
      </c>
      <c r="F140" s="3" t="s">
        <v>747</v>
      </c>
      <c r="G140" s="3" t="s">
        <v>750</v>
      </c>
      <c r="H140" s="3" t="s">
        <v>400</v>
      </c>
      <c r="I140" s="3" t="s">
        <v>745</v>
      </c>
      <c r="J140" s="3" t="s">
        <v>685</v>
      </c>
      <c r="K140" s="3" t="s">
        <v>751</v>
      </c>
      <c r="L140" s="4">
        <v>42963</v>
      </c>
    </row>
    <row r="141" spans="1:12" x14ac:dyDescent="0.6">
      <c r="A141" s="3" t="s">
        <v>292</v>
      </c>
      <c r="B141" s="3" t="s">
        <v>54</v>
      </c>
      <c r="C141" s="3" t="s">
        <v>397</v>
      </c>
      <c r="D141" s="3">
        <v>42.766620000000003</v>
      </c>
      <c r="E141" s="3">
        <v>-84.391139999999993</v>
      </c>
      <c r="F141" s="3" t="s">
        <v>752</v>
      </c>
      <c r="G141" s="3" t="s">
        <v>753</v>
      </c>
      <c r="H141" s="3" t="s">
        <v>400</v>
      </c>
      <c r="I141" s="3" t="s">
        <v>745</v>
      </c>
      <c r="J141" s="3" t="s">
        <v>685</v>
      </c>
      <c r="K141" s="3" t="s">
        <v>754</v>
      </c>
      <c r="L141" s="4">
        <v>42964</v>
      </c>
    </row>
    <row r="142" spans="1:12" x14ac:dyDescent="0.6">
      <c r="A142" s="3" t="s">
        <v>293</v>
      </c>
      <c r="B142" s="3" t="s">
        <v>29</v>
      </c>
      <c r="C142" s="3" t="s">
        <v>397</v>
      </c>
      <c r="D142" s="3">
        <v>42.765259999999998</v>
      </c>
      <c r="E142" s="3">
        <v>-84.382540000000006</v>
      </c>
      <c r="F142" s="3" t="s">
        <v>752</v>
      </c>
      <c r="G142" s="3" t="s">
        <v>755</v>
      </c>
      <c r="H142" s="3" t="s">
        <v>400</v>
      </c>
      <c r="I142" s="3" t="s">
        <v>745</v>
      </c>
      <c r="J142" s="3" t="s">
        <v>685</v>
      </c>
      <c r="K142" s="3" t="s">
        <v>756</v>
      </c>
      <c r="L142" s="4">
        <v>42964</v>
      </c>
    </row>
    <row r="143" spans="1:12" x14ac:dyDescent="0.6">
      <c r="A143" s="3" t="s">
        <v>296</v>
      </c>
      <c r="B143" s="3" t="s">
        <v>11</v>
      </c>
      <c r="C143" s="3" t="s">
        <v>397</v>
      </c>
      <c r="D143" s="3">
        <v>43.016849999999998</v>
      </c>
      <c r="E143" s="3">
        <v>-90.114810000000006</v>
      </c>
      <c r="F143" s="3" t="s">
        <v>757</v>
      </c>
      <c r="G143" s="3" t="s">
        <v>758</v>
      </c>
      <c r="H143" s="3" t="s">
        <v>400</v>
      </c>
      <c r="I143" s="3" t="s">
        <v>487</v>
      </c>
      <c r="J143" s="3" t="s">
        <v>759</v>
      </c>
      <c r="K143" s="3" t="s">
        <v>760</v>
      </c>
      <c r="L143" s="4">
        <v>42969</v>
      </c>
    </row>
    <row r="144" spans="1:12" x14ac:dyDescent="0.6">
      <c r="A144" s="3" t="s">
        <v>309</v>
      </c>
      <c r="B144" s="3" t="s">
        <v>54</v>
      </c>
      <c r="C144" s="3" t="s">
        <v>397</v>
      </c>
      <c r="D144" s="3">
        <v>43.017060000000001</v>
      </c>
      <c r="E144" s="3">
        <v>-88.435310000000001</v>
      </c>
      <c r="F144" s="3" t="s">
        <v>761</v>
      </c>
      <c r="G144" s="3" t="s">
        <v>762</v>
      </c>
      <c r="H144" s="3" t="s">
        <v>400</v>
      </c>
      <c r="I144" s="3" t="s">
        <v>487</v>
      </c>
      <c r="J144" s="3" t="s">
        <v>763</v>
      </c>
      <c r="K144" s="3" t="s">
        <v>764</v>
      </c>
      <c r="L144" s="4">
        <v>42970</v>
      </c>
    </row>
    <row r="145" spans="1:12" x14ac:dyDescent="0.6">
      <c r="A145" s="3" t="s">
        <v>310</v>
      </c>
      <c r="B145" s="3" t="s">
        <v>11</v>
      </c>
      <c r="C145" s="3" t="s">
        <v>397</v>
      </c>
      <c r="D145" s="3">
        <v>43.016069999999999</v>
      </c>
      <c r="E145" s="3">
        <v>-88.435130000000001</v>
      </c>
      <c r="F145" s="3" t="s">
        <v>761</v>
      </c>
      <c r="G145" s="3" t="s">
        <v>765</v>
      </c>
      <c r="H145" s="3" t="s">
        <v>400</v>
      </c>
      <c r="I145" s="3" t="s">
        <v>487</v>
      </c>
      <c r="J145" s="3" t="s">
        <v>763</v>
      </c>
      <c r="K145" s="3" t="s">
        <v>766</v>
      </c>
      <c r="L145" s="4">
        <v>42970</v>
      </c>
    </row>
    <row r="146" spans="1:12" x14ac:dyDescent="0.6">
      <c r="A146" s="3" t="s">
        <v>317</v>
      </c>
      <c r="B146" s="3" t="s">
        <v>11</v>
      </c>
      <c r="C146" s="3" t="s">
        <v>397</v>
      </c>
      <c r="D146" s="3">
        <v>44.363880000000002</v>
      </c>
      <c r="E146" s="3">
        <v>-93.935429999999997</v>
      </c>
      <c r="F146" s="3" t="s">
        <v>767</v>
      </c>
      <c r="G146" s="3" t="s">
        <v>768</v>
      </c>
      <c r="H146" s="3" t="s">
        <v>400</v>
      </c>
      <c r="I146" s="3" t="s">
        <v>401</v>
      </c>
      <c r="J146" s="3" t="s">
        <v>759</v>
      </c>
      <c r="K146" s="3" t="s">
        <v>769</v>
      </c>
      <c r="L146" s="4">
        <v>42974</v>
      </c>
    </row>
    <row r="147" spans="1:12" x14ac:dyDescent="0.6">
      <c r="A147" s="3" t="s">
        <v>329</v>
      </c>
      <c r="B147" s="3" t="s">
        <v>11</v>
      </c>
      <c r="C147" s="3" t="s">
        <v>397</v>
      </c>
      <c r="D147" s="3">
        <v>40.73122</v>
      </c>
      <c r="E147" s="3">
        <v>-83.093279999999993</v>
      </c>
      <c r="F147" s="3" t="s">
        <v>770</v>
      </c>
      <c r="G147" s="3" t="s">
        <v>771</v>
      </c>
      <c r="H147" s="3" t="s">
        <v>400</v>
      </c>
      <c r="I147" s="3" t="s">
        <v>772</v>
      </c>
      <c r="J147" s="3" t="s">
        <v>708</v>
      </c>
      <c r="K147" s="3" t="s">
        <v>773</v>
      </c>
      <c r="L147" s="4">
        <v>42983</v>
      </c>
    </row>
    <row r="148" spans="1:12" x14ac:dyDescent="0.6">
      <c r="A148" s="3" t="s">
        <v>332</v>
      </c>
      <c r="B148" s="3" t="s">
        <v>11</v>
      </c>
      <c r="C148" s="3" t="s">
        <v>397</v>
      </c>
      <c r="D148" s="3">
        <v>41.550690000000003</v>
      </c>
      <c r="E148" s="3">
        <v>-84.359690000000001</v>
      </c>
      <c r="F148" s="3" t="s">
        <v>774</v>
      </c>
      <c r="G148" s="3" t="s">
        <v>775</v>
      </c>
      <c r="H148" s="3" t="s">
        <v>400</v>
      </c>
      <c r="I148" s="3" t="s">
        <v>772</v>
      </c>
      <c r="J148" s="3" t="s">
        <v>708</v>
      </c>
      <c r="K148" s="3" t="s">
        <v>776</v>
      </c>
      <c r="L148" s="4">
        <v>42984</v>
      </c>
    </row>
    <row r="149" spans="1:12" x14ac:dyDescent="0.6">
      <c r="A149" s="3" t="s">
        <v>333</v>
      </c>
      <c r="B149" s="3" t="s">
        <v>96</v>
      </c>
      <c r="C149" s="3" t="s">
        <v>397</v>
      </c>
      <c r="D149" s="3">
        <v>41.550960000000003</v>
      </c>
      <c r="E149" s="3">
        <v>-84.358459999999994</v>
      </c>
      <c r="F149" s="3" t="s">
        <v>774</v>
      </c>
      <c r="G149" s="3" t="s">
        <v>777</v>
      </c>
      <c r="H149" s="3" t="s">
        <v>400</v>
      </c>
      <c r="I149" s="3" t="s">
        <v>772</v>
      </c>
      <c r="J149" s="3" t="s">
        <v>708</v>
      </c>
      <c r="K149" s="3" t="s">
        <v>778</v>
      </c>
      <c r="L149" s="4">
        <v>42984</v>
      </c>
    </row>
    <row r="150" spans="1:12" x14ac:dyDescent="0.6">
      <c r="A150" s="3" t="s">
        <v>338</v>
      </c>
      <c r="B150" s="3" t="s">
        <v>54</v>
      </c>
      <c r="C150" s="3" t="s">
        <v>397</v>
      </c>
      <c r="D150" s="3">
        <v>41.552199999999999</v>
      </c>
      <c r="E150" s="3">
        <v>-84.358949999999993</v>
      </c>
      <c r="F150" s="3" t="s">
        <v>774</v>
      </c>
      <c r="G150" s="3" t="s">
        <v>779</v>
      </c>
      <c r="H150" s="3" t="s">
        <v>400</v>
      </c>
      <c r="I150" s="3" t="s">
        <v>772</v>
      </c>
      <c r="J150" s="3" t="s">
        <v>708</v>
      </c>
      <c r="K150" s="3" t="s">
        <v>780</v>
      </c>
      <c r="L150" s="4">
        <v>42984</v>
      </c>
    </row>
    <row r="151" spans="1:12" x14ac:dyDescent="0.6">
      <c r="A151" s="3" t="s">
        <v>351</v>
      </c>
      <c r="B151" s="3" t="s">
        <v>54</v>
      </c>
      <c r="C151" s="3" t="s">
        <v>397</v>
      </c>
      <c r="D151" s="3">
        <v>42.18327</v>
      </c>
      <c r="E151" s="3">
        <v>-87.914259999999999</v>
      </c>
      <c r="F151" s="3" t="s">
        <v>522</v>
      </c>
      <c r="G151" s="3" t="s">
        <v>781</v>
      </c>
      <c r="H151" s="3" t="s">
        <v>400</v>
      </c>
      <c r="I151" s="3" t="s">
        <v>445</v>
      </c>
      <c r="J151" s="3" t="s">
        <v>759</v>
      </c>
      <c r="K151" s="3" t="s">
        <v>782</v>
      </c>
      <c r="L151" s="4">
        <v>42991</v>
      </c>
    </row>
    <row r="152" spans="1:12" x14ac:dyDescent="0.6">
      <c r="A152" s="3" t="s">
        <v>352</v>
      </c>
      <c r="B152" s="3" t="s">
        <v>29</v>
      </c>
      <c r="C152" s="3" t="s">
        <v>397</v>
      </c>
      <c r="D152" s="3">
        <v>42.184310000000004</v>
      </c>
      <c r="E152" s="3">
        <v>-87.91628</v>
      </c>
      <c r="F152" s="3" t="s">
        <v>522</v>
      </c>
      <c r="G152" s="3" t="s">
        <v>783</v>
      </c>
      <c r="H152" s="3" t="s">
        <v>400</v>
      </c>
      <c r="I152" s="3" t="s">
        <v>445</v>
      </c>
      <c r="J152" s="3" t="s">
        <v>759</v>
      </c>
      <c r="K152" s="3" t="s">
        <v>784</v>
      </c>
      <c r="L152" s="4">
        <v>42991</v>
      </c>
    </row>
    <row r="153" spans="1:12" x14ac:dyDescent="0.6">
      <c r="A153" s="3" t="s">
        <v>357</v>
      </c>
      <c r="B153" s="3" t="s">
        <v>54</v>
      </c>
      <c r="C153" s="3" t="s">
        <v>397</v>
      </c>
      <c r="D153" s="3">
        <v>41.825189999999999</v>
      </c>
      <c r="E153" s="3">
        <v>-87.930850000000007</v>
      </c>
      <c r="F153" s="3" t="s">
        <v>785</v>
      </c>
      <c r="G153" s="3" t="s">
        <v>786</v>
      </c>
      <c r="H153" s="3" t="s">
        <v>400</v>
      </c>
      <c r="I153" s="3" t="s">
        <v>445</v>
      </c>
      <c r="J153" s="3" t="s">
        <v>759</v>
      </c>
      <c r="K153" s="3" t="s">
        <v>787</v>
      </c>
      <c r="L153" s="4">
        <v>42992</v>
      </c>
    </row>
    <row r="154" spans="1:12" x14ac:dyDescent="0.6">
      <c r="A154" s="3" t="s">
        <v>367</v>
      </c>
      <c r="B154" s="3" t="s">
        <v>11</v>
      </c>
      <c r="C154" s="3" t="s">
        <v>397</v>
      </c>
      <c r="D154" s="3">
        <v>43.816839999999999</v>
      </c>
      <c r="E154" s="3">
        <v>-103.25005</v>
      </c>
      <c r="F154" s="3" t="s">
        <v>788</v>
      </c>
      <c r="G154" s="3" t="s">
        <v>789</v>
      </c>
      <c r="H154" s="3" t="s">
        <v>400</v>
      </c>
      <c r="I154" s="3" t="s">
        <v>790</v>
      </c>
      <c r="J154" s="3" t="s">
        <v>791</v>
      </c>
      <c r="K154" s="3" t="s">
        <v>792</v>
      </c>
      <c r="L154" s="4">
        <v>42965</v>
      </c>
    </row>
    <row r="155" spans="1:12" x14ac:dyDescent="0.6">
      <c r="A155" s="3" t="s">
        <v>295</v>
      </c>
      <c r="B155" s="3" t="s">
        <v>11</v>
      </c>
      <c r="C155" s="3" t="s">
        <v>397</v>
      </c>
      <c r="D155" s="3">
        <v>43.01643</v>
      </c>
      <c r="E155" s="3">
        <v>-90.114180000000005</v>
      </c>
      <c r="F155" s="3" t="s">
        <v>757</v>
      </c>
      <c r="G155" s="3" t="s">
        <v>793</v>
      </c>
      <c r="H155" s="3" t="s">
        <v>400</v>
      </c>
      <c r="I155" s="3" t="s">
        <v>487</v>
      </c>
      <c r="J155" s="3" t="s">
        <v>759</v>
      </c>
      <c r="K155" s="3" t="s">
        <v>794</v>
      </c>
      <c r="L155" s="4">
        <v>42969</v>
      </c>
    </row>
    <row r="156" spans="1:12" x14ac:dyDescent="0.6">
      <c r="A156" s="3" t="s">
        <v>297</v>
      </c>
      <c r="B156" s="3" t="s">
        <v>11</v>
      </c>
      <c r="C156" s="3" t="s">
        <v>397</v>
      </c>
      <c r="D156" s="3">
        <v>43.021279999999997</v>
      </c>
      <c r="E156" s="3">
        <v>-90.116950000000003</v>
      </c>
      <c r="F156" s="3" t="s">
        <v>757</v>
      </c>
      <c r="G156" s="3" t="s">
        <v>795</v>
      </c>
      <c r="H156" s="3" t="s">
        <v>400</v>
      </c>
      <c r="I156" s="3" t="s">
        <v>487</v>
      </c>
      <c r="J156" s="3" t="s">
        <v>759</v>
      </c>
      <c r="K156" s="3" t="s">
        <v>796</v>
      </c>
      <c r="L156" s="4">
        <v>42969</v>
      </c>
    </row>
    <row r="157" spans="1:12" x14ac:dyDescent="0.6">
      <c r="A157" s="3" t="s">
        <v>298</v>
      </c>
      <c r="B157" s="3" t="s">
        <v>54</v>
      </c>
      <c r="C157" s="3" t="s">
        <v>397</v>
      </c>
      <c r="D157" s="3">
        <v>43.02158</v>
      </c>
      <c r="E157" s="3">
        <v>-90.118099999999998</v>
      </c>
      <c r="F157" s="3" t="s">
        <v>757</v>
      </c>
      <c r="G157" s="3" t="s">
        <v>797</v>
      </c>
      <c r="H157" s="3" t="s">
        <v>400</v>
      </c>
      <c r="I157" s="3" t="s">
        <v>487</v>
      </c>
      <c r="J157" s="3" t="s">
        <v>759</v>
      </c>
      <c r="K157" s="3" t="s">
        <v>798</v>
      </c>
      <c r="L157" s="4">
        <v>42969</v>
      </c>
    </row>
    <row r="158" spans="1:12" x14ac:dyDescent="0.6">
      <c r="A158" s="3" t="s">
        <v>299</v>
      </c>
      <c r="B158" s="3" t="s">
        <v>11</v>
      </c>
      <c r="C158" s="3" t="s">
        <v>397</v>
      </c>
      <c r="D158" s="3">
        <v>43.02073</v>
      </c>
      <c r="E158" s="3">
        <v>-90.117710000000002</v>
      </c>
      <c r="F158" s="3" t="s">
        <v>757</v>
      </c>
      <c r="G158" s="3" t="s">
        <v>799</v>
      </c>
      <c r="H158" s="3" t="s">
        <v>400</v>
      </c>
      <c r="I158" s="3" t="s">
        <v>487</v>
      </c>
      <c r="J158" s="3" t="s">
        <v>759</v>
      </c>
      <c r="K158" s="3" t="s">
        <v>800</v>
      </c>
      <c r="L158" s="4">
        <v>42969</v>
      </c>
    </row>
    <row r="159" spans="1:12" x14ac:dyDescent="0.6">
      <c r="A159" s="3" t="s">
        <v>300</v>
      </c>
      <c r="B159" s="3" t="s">
        <v>11</v>
      </c>
      <c r="C159" s="3" t="s">
        <v>397</v>
      </c>
      <c r="D159" s="3">
        <v>43.019300000000001</v>
      </c>
      <c r="E159" s="3">
        <v>-90.116919999999993</v>
      </c>
      <c r="F159" s="3" t="s">
        <v>757</v>
      </c>
      <c r="G159" s="3" t="s">
        <v>801</v>
      </c>
      <c r="H159" s="3" t="s">
        <v>400</v>
      </c>
      <c r="I159" s="3" t="s">
        <v>487</v>
      </c>
      <c r="J159" s="3" t="s">
        <v>759</v>
      </c>
      <c r="K159" s="3" t="s">
        <v>802</v>
      </c>
      <c r="L159" s="4">
        <v>42969</v>
      </c>
    </row>
    <row r="160" spans="1:12" x14ac:dyDescent="0.6">
      <c r="A160" s="3" t="s">
        <v>301</v>
      </c>
      <c r="B160" s="3" t="s">
        <v>11</v>
      </c>
      <c r="C160" s="3" t="s">
        <v>397</v>
      </c>
      <c r="D160" s="3">
        <v>43.018279999999997</v>
      </c>
      <c r="E160" s="3">
        <v>-90.117009999999993</v>
      </c>
      <c r="F160" s="3" t="s">
        <v>757</v>
      </c>
      <c r="G160" s="3" t="s">
        <v>803</v>
      </c>
      <c r="H160" s="3" t="s">
        <v>400</v>
      </c>
      <c r="I160" s="3" t="s">
        <v>487</v>
      </c>
      <c r="J160" s="3" t="s">
        <v>759</v>
      </c>
      <c r="K160" s="3" t="s">
        <v>804</v>
      </c>
      <c r="L160" s="4">
        <v>42969</v>
      </c>
    </row>
    <row r="161" spans="1:12" x14ac:dyDescent="0.6">
      <c r="A161" s="3" t="s">
        <v>302</v>
      </c>
      <c r="B161" s="3" t="s">
        <v>54</v>
      </c>
      <c r="C161" s="3" t="s">
        <v>397</v>
      </c>
      <c r="D161" s="3">
        <v>43.018169999999998</v>
      </c>
      <c r="E161" s="3">
        <v>-90.116789999999995</v>
      </c>
      <c r="F161" s="3" t="s">
        <v>757</v>
      </c>
      <c r="G161" s="3" t="s">
        <v>805</v>
      </c>
      <c r="H161" s="3" t="s">
        <v>400</v>
      </c>
      <c r="I161" s="3" t="s">
        <v>487</v>
      </c>
      <c r="J161" s="3" t="s">
        <v>759</v>
      </c>
      <c r="K161" s="3" t="s">
        <v>806</v>
      </c>
      <c r="L161" s="4">
        <v>42969</v>
      </c>
    </row>
    <row r="162" spans="1:12" x14ac:dyDescent="0.6">
      <c r="A162" s="3" t="s">
        <v>84</v>
      </c>
      <c r="B162" s="3" t="s">
        <v>11</v>
      </c>
      <c r="C162" s="3" t="s">
        <v>397</v>
      </c>
      <c r="D162" s="3">
        <v>41.813470000000002</v>
      </c>
      <c r="E162" s="3">
        <v>-88.062929999999994</v>
      </c>
      <c r="F162" s="3" t="s">
        <v>807</v>
      </c>
      <c r="G162" s="3" t="s">
        <v>808</v>
      </c>
      <c r="H162" s="3" t="s">
        <v>400</v>
      </c>
      <c r="I162" s="3" t="s">
        <v>445</v>
      </c>
      <c r="J162" s="3" t="s">
        <v>809</v>
      </c>
      <c r="K162" s="3">
        <v>2017001</v>
      </c>
      <c r="L162" s="4">
        <v>42867</v>
      </c>
    </row>
    <row r="163" spans="1:12" x14ac:dyDescent="0.6">
      <c r="A163" s="3" t="s">
        <v>136</v>
      </c>
      <c r="B163" s="3" t="s">
        <v>11</v>
      </c>
      <c r="C163" s="3" t="s">
        <v>397</v>
      </c>
      <c r="D163" s="3">
        <v>42.030329999999999</v>
      </c>
      <c r="E163" s="3">
        <v>-93.632000000000005</v>
      </c>
      <c r="F163" s="3" t="s">
        <v>408</v>
      </c>
      <c r="G163" s="3" t="s">
        <v>810</v>
      </c>
      <c r="H163" s="3" t="s">
        <v>400</v>
      </c>
      <c r="I163" s="3" t="s">
        <v>410</v>
      </c>
      <c r="J163" s="3" t="s">
        <v>811</v>
      </c>
      <c r="K163" s="3" t="s">
        <v>812</v>
      </c>
      <c r="L163" s="4">
        <v>42900</v>
      </c>
    </row>
    <row r="164" spans="1:12" x14ac:dyDescent="0.6">
      <c r="A164" s="3" t="s">
        <v>146</v>
      </c>
      <c r="B164" s="3" t="s">
        <v>54</v>
      </c>
      <c r="C164" s="3" t="s">
        <v>397</v>
      </c>
      <c r="D164" s="3">
        <v>37.974139999999998</v>
      </c>
      <c r="E164" s="3">
        <v>-92.762659999999997</v>
      </c>
      <c r="F164" s="3" t="s">
        <v>602</v>
      </c>
      <c r="G164" s="3" t="s">
        <v>813</v>
      </c>
      <c r="H164" s="3" t="s">
        <v>400</v>
      </c>
      <c r="I164" s="3" t="s">
        <v>604</v>
      </c>
      <c r="J164" s="3" t="s">
        <v>596</v>
      </c>
      <c r="K164" s="3" t="s">
        <v>814</v>
      </c>
      <c r="L164" s="4">
        <v>42905</v>
      </c>
    </row>
    <row r="165" spans="1:12" x14ac:dyDescent="0.6">
      <c r="A165" s="3" t="s">
        <v>149</v>
      </c>
      <c r="B165" s="3" t="s">
        <v>43</v>
      </c>
      <c r="C165" s="3" t="s">
        <v>397</v>
      </c>
      <c r="D165" s="3">
        <v>36.843539999999997</v>
      </c>
      <c r="E165" s="3">
        <v>-96.429199999999994</v>
      </c>
      <c r="F165" s="3" t="s">
        <v>610</v>
      </c>
      <c r="G165" s="3" t="s">
        <v>815</v>
      </c>
      <c r="H165" s="3" t="s">
        <v>400</v>
      </c>
      <c r="I165" s="3" t="s">
        <v>612</v>
      </c>
      <c r="J165" s="3" t="s">
        <v>596</v>
      </c>
      <c r="K165" s="3" t="s">
        <v>816</v>
      </c>
      <c r="L165" s="4">
        <v>42906</v>
      </c>
    </row>
    <row r="166" spans="1:12" x14ac:dyDescent="0.6">
      <c r="A166" s="3" t="s">
        <v>150</v>
      </c>
      <c r="B166" s="3" t="s">
        <v>43</v>
      </c>
      <c r="C166" s="3" t="s">
        <v>397</v>
      </c>
      <c r="D166" s="3">
        <v>36.845410000000001</v>
      </c>
      <c r="E166" s="3">
        <v>-96.419179999999997</v>
      </c>
      <c r="F166" s="3" t="s">
        <v>610</v>
      </c>
      <c r="G166" s="3" t="s">
        <v>817</v>
      </c>
      <c r="H166" s="3" t="s">
        <v>400</v>
      </c>
      <c r="I166" s="3" t="s">
        <v>612</v>
      </c>
      <c r="J166" s="3" t="s">
        <v>596</v>
      </c>
      <c r="K166" s="3" t="s">
        <v>818</v>
      </c>
      <c r="L166" s="4">
        <v>42906</v>
      </c>
    </row>
    <row r="167" spans="1:12" x14ac:dyDescent="0.6">
      <c r="A167" s="3" t="s">
        <v>151</v>
      </c>
      <c r="B167" s="3" t="s">
        <v>11</v>
      </c>
      <c r="C167" s="3" t="s">
        <v>397</v>
      </c>
      <c r="D167" s="3">
        <v>36.210700000000003</v>
      </c>
      <c r="E167" s="3">
        <v>-95.894760000000005</v>
      </c>
      <c r="F167" s="3" t="s">
        <v>633</v>
      </c>
      <c r="G167" s="3" t="s">
        <v>819</v>
      </c>
      <c r="H167" s="3" t="s">
        <v>400</v>
      </c>
      <c r="I167" s="3" t="s">
        <v>612</v>
      </c>
      <c r="J167" s="3" t="s">
        <v>596</v>
      </c>
      <c r="K167" s="3" t="s">
        <v>820</v>
      </c>
      <c r="L167" s="4">
        <v>42906</v>
      </c>
    </row>
    <row r="168" spans="1:12" x14ac:dyDescent="0.6">
      <c r="A168" s="3" t="s">
        <v>153</v>
      </c>
      <c r="B168" s="3" t="s">
        <v>11</v>
      </c>
      <c r="C168" s="3" t="s">
        <v>397</v>
      </c>
      <c r="D168" s="3">
        <v>36.220640000000003</v>
      </c>
      <c r="E168" s="3">
        <v>-95.898759999999996</v>
      </c>
      <c r="F168" s="3" t="s">
        <v>633</v>
      </c>
      <c r="G168" s="3" t="s">
        <v>821</v>
      </c>
      <c r="H168" s="3" t="s">
        <v>400</v>
      </c>
      <c r="I168" s="3" t="s">
        <v>612</v>
      </c>
      <c r="J168" s="3" t="s">
        <v>596</v>
      </c>
      <c r="K168" s="3" t="s">
        <v>822</v>
      </c>
      <c r="L168" s="4">
        <v>42906</v>
      </c>
    </row>
    <row r="169" spans="1:12" x14ac:dyDescent="0.6">
      <c r="A169" s="3" t="s">
        <v>154</v>
      </c>
      <c r="B169" s="3" t="s">
        <v>54</v>
      </c>
      <c r="C169" s="3" t="s">
        <v>397</v>
      </c>
      <c r="D169" s="3">
        <v>36.218119999999999</v>
      </c>
      <c r="E169" s="3">
        <v>-95.900139999999993</v>
      </c>
      <c r="F169" s="3" t="s">
        <v>633</v>
      </c>
      <c r="G169" s="3" t="s">
        <v>823</v>
      </c>
      <c r="H169" s="3" t="s">
        <v>400</v>
      </c>
      <c r="I169" s="3" t="s">
        <v>612</v>
      </c>
      <c r="J169" s="3" t="s">
        <v>596</v>
      </c>
      <c r="K169" s="3" t="s">
        <v>824</v>
      </c>
      <c r="L169" s="4">
        <v>42906</v>
      </c>
    </row>
    <row r="170" spans="1:12" x14ac:dyDescent="0.6">
      <c r="A170" s="3" t="s">
        <v>155</v>
      </c>
      <c r="B170" s="3" t="s">
        <v>11</v>
      </c>
      <c r="C170" s="3" t="s">
        <v>397</v>
      </c>
      <c r="D170" s="3">
        <v>35.453510000000001</v>
      </c>
      <c r="E170" s="3">
        <v>-98.354119999999995</v>
      </c>
      <c r="F170" s="3" t="s">
        <v>616</v>
      </c>
      <c r="G170" s="3" t="s">
        <v>825</v>
      </c>
      <c r="H170" s="3" t="s">
        <v>400</v>
      </c>
      <c r="I170" s="3" t="s">
        <v>612</v>
      </c>
      <c r="J170" s="3" t="s">
        <v>596</v>
      </c>
      <c r="K170" s="3" t="s">
        <v>826</v>
      </c>
      <c r="L170" s="4">
        <v>42907</v>
      </c>
    </row>
    <row r="171" spans="1:12" x14ac:dyDescent="0.6">
      <c r="A171" s="3" t="s">
        <v>157</v>
      </c>
      <c r="B171" s="3" t="s">
        <v>96</v>
      </c>
      <c r="C171" s="3" t="s">
        <v>397</v>
      </c>
      <c r="D171" s="3">
        <v>35.440849999999998</v>
      </c>
      <c r="E171" s="3">
        <v>-98.354709999999997</v>
      </c>
      <c r="F171" s="3" t="s">
        <v>616</v>
      </c>
      <c r="G171" s="3" t="s">
        <v>827</v>
      </c>
      <c r="H171" s="3" t="s">
        <v>400</v>
      </c>
      <c r="I171" s="3" t="s">
        <v>612</v>
      </c>
      <c r="J171" s="3" t="s">
        <v>596</v>
      </c>
      <c r="K171" s="3" t="s">
        <v>828</v>
      </c>
      <c r="L171" s="4">
        <v>42907</v>
      </c>
    </row>
    <row r="172" spans="1:12" x14ac:dyDescent="0.6">
      <c r="A172" s="3" t="s">
        <v>158</v>
      </c>
      <c r="B172" s="3" t="s">
        <v>11</v>
      </c>
      <c r="C172" s="3" t="s">
        <v>397</v>
      </c>
      <c r="D172" s="3">
        <v>35.438740000000003</v>
      </c>
      <c r="E172" s="3">
        <v>-98.354950000000002</v>
      </c>
      <c r="F172" s="3" t="s">
        <v>616</v>
      </c>
      <c r="G172" s="3" t="s">
        <v>829</v>
      </c>
      <c r="H172" s="3" t="s">
        <v>400</v>
      </c>
      <c r="I172" s="3" t="s">
        <v>612</v>
      </c>
      <c r="J172" s="3" t="s">
        <v>596</v>
      </c>
      <c r="K172" s="3" t="s">
        <v>830</v>
      </c>
      <c r="L172" s="4">
        <v>42907</v>
      </c>
    </row>
    <row r="173" spans="1:12" x14ac:dyDescent="0.6">
      <c r="A173" s="3" t="s">
        <v>159</v>
      </c>
      <c r="B173" s="3" t="s">
        <v>11</v>
      </c>
      <c r="C173" s="3" t="s">
        <v>397</v>
      </c>
      <c r="D173" s="3">
        <v>35.177050000000001</v>
      </c>
      <c r="E173" s="3">
        <v>-97.449209999999994</v>
      </c>
      <c r="F173" s="3" t="s">
        <v>636</v>
      </c>
      <c r="G173" s="3" t="s">
        <v>831</v>
      </c>
      <c r="H173" s="3" t="s">
        <v>400</v>
      </c>
      <c r="I173" s="3" t="s">
        <v>612</v>
      </c>
      <c r="J173" s="3" t="s">
        <v>638</v>
      </c>
      <c r="K173" s="3" t="s">
        <v>832</v>
      </c>
      <c r="L173" s="4">
        <v>42907</v>
      </c>
    </row>
    <row r="174" spans="1:12" x14ac:dyDescent="0.6">
      <c r="A174" s="3" t="s">
        <v>161</v>
      </c>
      <c r="B174" s="3" t="s">
        <v>11</v>
      </c>
      <c r="C174" s="3" t="s">
        <v>397</v>
      </c>
      <c r="D174" s="3">
        <v>35.177219999999998</v>
      </c>
      <c r="E174" s="3">
        <v>-97.450029999999998</v>
      </c>
      <c r="F174" s="3" t="s">
        <v>636</v>
      </c>
      <c r="G174" s="3" t="s">
        <v>833</v>
      </c>
      <c r="H174" s="3" t="s">
        <v>400</v>
      </c>
      <c r="I174" s="3" t="s">
        <v>612</v>
      </c>
      <c r="J174" s="3" t="s">
        <v>638</v>
      </c>
      <c r="K174" s="3" t="s">
        <v>834</v>
      </c>
      <c r="L174" s="4">
        <v>42907</v>
      </c>
    </row>
    <row r="175" spans="1:12" x14ac:dyDescent="0.6">
      <c r="A175" s="3" t="s">
        <v>164</v>
      </c>
      <c r="B175" s="3" t="s">
        <v>54</v>
      </c>
      <c r="C175" s="3" t="s">
        <v>397</v>
      </c>
      <c r="D175" s="3">
        <v>34.803060000000002</v>
      </c>
      <c r="E175" s="3">
        <v>-92.325550000000007</v>
      </c>
      <c r="F175" s="3" t="s">
        <v>543</v>
      </c>
      <c r="G175" s="3" t="s">
        <v>835</v>
      </c>
      <c r="H175" s="3" t="s">
        <v>400</v>
      </c>
      <c r="I175" s="3" t="s">
        <v>620</v>
      </c>
      <c r="J175" s="3" t="s">
        <v>621</v>
      </c>
      <c r="K175" s="3" t="s">
        <v>836</v>
      </c>
      <c r="L175" s="4">
        <v>42908</v>
      </c>
    </row>
    <row r="176" spans="1:12" x14ac:dyDescent="0.6">
      <c r="A176" s="3" t="s">
        <v>165</v>
      </c>
      <c r="B176" s="3" t="s">
        <v>11</v>
      </c>
      <c r="C176" s="3" t="s">
        <v>397</v>
      </c>
      <c r="D176" s="3">
        <v>34.802799999999998</v>
      </c>
      <c r="E176" s="3">
        <v>-92.325569999999999</v>
      </c>
      <c r="F176" s="3" t="s">
        <v>543</v>
      </c>
      <c r="G176" s="3" t="s">
        <v>837</v>
      </c>
      <c r="H176" s="3" t="s">
        <v>400</v>
      </c>
      <c r="I176" s="3" t="s">
        <v>620</v>
      </c>
      <c r="J176" s="3" t="s">
        <v>621</v>
      </c>
      <c r="K176" s="3" t="s">
        <v>838</v>
      </c>
      <c r="L176" s="4">
        <v>42908</v>
      </c>
    </row>
    <row r="177" spans="1:12" x14ac:dyDescent="0.6">
      <c r="A177" s="3" t="s">
        <v>166</v>
      </c>
      <c r="B177" s="3" t="s">
        <v>43</v>
      </c>
      <c r="C177" s="3" t="s">
        <v>397</v>
      </c>
      <c r="D177" s="3">
        <v>34.80348</v>
      </c>
      <c r="E177" s="3">
        <v>-92.325900000000004</v>
      </c>
      <c r="F177" s="3" t="s">
        <v>543</v>
      </c>
      <c r="G177" s="3" t="s">
        <v>839</v>
      </c>
      <c r="H177" s="3" t="s">
        <v>400</v>
      </c>
      <c r="I177" s="3" t="s">
        <v>620</v>
      </c>
      <c r="J177" s="3" t="s">
        <v>621</v>
      </c>
      <c r="K177" s="3" t="s">
        <v>840</v>
      </c>
      <c r="L177" s="4">
        <v>42908</v>
      </c>
    </row>
    <row r="178" spans="1:12" x14ac:dyDescent="0.6">
      <c r="A178" s="3" t="s">
        <v>167</v>
      </c>
      <c r="B178" s="3" t="s">
        <v>11</v>
      </c>
      <c r="C178" s="3" t="s">
        <v>397</v>
      </c>
      <c r="D178" s="3">
        <v>34.80377</v>
      </c>
      <c r="E178" s="3">
        <v>-92.326980000000006</v>
      </c>
      <c r="F178" s="3" t="s">
        <v>543</v>
      </c>
      <c r="G178" s="3" t="s">
        <v>841</v>
      </c>
      <c r="H178" s="3" t="s">
        <v>400</v>
      </c>
      <c r="I178" s="3" t="s">
        <v>620</v>
      </c>
      <c r="J178" s="3" t="s">
        <v>621</v>
      </c>
      <c r="K178" s="3" t="s">
        <v>842</v>
      </c>
      <c r="L178" s="4">
        <v>42908</v>
      </c>
    </row>
    <row r="179" spans="1:12" x14ac:dyDescent="0.6">
      <c r="A179" s="3" t="s">
        <v>168</v>
      </c>
      <c r="B179" s="3" t="s">
        <v>43</v>
      </c>
      <c r="C179" s="3" t="s">
        <v>397</v>
      </c>
      <c r="D179" s="3">
        <v>34.804270000000002</v>
      </c>
      <c r="E179" s="3">
        <v>-92.326520000000002</v>
      </c>
      <c r="F179" s="3" t="s">
        <v>543</v>
      </c>
      <c r="G179" s="3" t="s">
        <v>843</v>
      </c>
      <c r="H179" s="3" t="s">
        <v>400</v>
      </c>
      <c r="I179" s="3" t="s">
        <v>620</v>
      </c>
      <c r="J179" s="3" t="s">
        <v>621</v>
      </c>
      <c r="K179" s="3" t="s">
        <v>844</v>
      </c>
      <c r="L179" s="4">
        <v>42908</v>
      </c>
    </row>
    <row r="180" spans="1:12" x14ac:dyDescent="0.6">
      <c r="A180" s="3" t="s">
        <v>169</v>
      </c>
      <c r="B180" s="3" t="s">
        <v>11</v>
      </c>
      <c r="C180" s="3" t="s">
        <v>397</v>
      </c>
      <c r="D180" s="3">
        <v>34.804450000000003</v>
      </c>
      <c r="E180" s="3">
        <v>-92.326120000000003</v>
      </c>
      <c r="F180" s="3" t="s">
        <v>543</v>
      </c>
      <c r="G180" s="3" t="s">
        <v>845</v>
      </c>
      <c r="H180" s="3" t="s">
        <v>400</v>
      </c>
      <c r="I180" s="3" t="s">
        <v>620</v>
      </c>
      <c r="J180" s="3" t="s">
        <v>621</v>
      </c>
      <c r="K180" s="3" t="s">
        <v>846</v>
      </c>
      <c r="L180" s="4">
        <v>42908</v>
      </c>
    </row>
    <row r="181" spans="1:12" x14ac:dyDescent="0.6">
      <c r="A181" s="3" t="s">
        <v>170</v>
      </c>
      <c r="B181" s="3" t="s">
        <v>11</v>
      </c>
      <c r="C181" s="3" t="s">
        <v>397</v>
      </c>
      <c r="D181" s="3">
        <v>37.157400000000003</v>
      </c>
      <c r="E181" s="3">
        <v>-91.364959999999996</v>
      </c>
      <c r="F181" s="3" t="s">
        <v>625</v>
      </c>
      <c r="G181" s="3" t="s">
        <v>847</v>
      </c>
      <c r="H181" s="3" t="s">
        <v>400</v>
      </c>
      <c r="I181" s="3" t="s">
        <v>604</v>
      </c>
      <c r="J181" s="3" t="s">
        <v>596</v>
      </c>
      <c r="K181" s="3" t="s">
        <v>848</v>
      </c>
      <c r="L181" s="4">
        <v>42909</v>
      </c>
    </row>
    <row r="182" spans="1:12" x14ac:dyDescent="0.6">
      <c r="A182" s="3" t="s">
        <v>171</v>
      </c>
      <c r="B182" s="3" t="s">
        <v>96</v>
      </c>
      <c r="C182" s="3" t="s">
        <v>397</v>
      </c>
      <c r="D182" s="3">
        <v>37.157400000000003</v>
      </c>
      <c r="E182" s="3">
        <v>-91.364959999999996</v>
      </c>
      <c r="F182" s="3" t="s">
        <v>625</v>
      </c>
      <c r="G182" s="3" t="s">
        <v>849</v>
      </c>
      <c r="H182" s="3" t="s">
        <v>400</v>
      </c>
      <c r="I182" s="3" t="s">
        <v>604</v>
      </c>
      <c r="J182" s="3" t="s">
        <v>596</v>
      </c>
      <c r="K182" s="3" t="s">
        <v>850</v>
      </c>
      <c r="L182" s="4">
        <v>42909</v>
      </c>
    </row>
    <row r="183" spans="1:12" x14ac:dyDescent="0.6">
      <c r="A183" s="3" t="s">
        <v>174</v>
      </c>
      <c r="B183" s="3" t="s">
        <v>11</v>
      </c>
      <c r="C183" s="3" t="s">
        <v>397</v>
      </c>
      <c r="D183" s="3">
        <v>37.157580000000003</v>
      </c>
      <c r="E183" s="3">
        <v>-91.365129999999994</v>
      </c>
      <c r="F183" s="3" t="s">
        <v>625</v>
      </c>
      <c r="G183" s="3" t="s">
        <v>851</v>
      </c>
      <c r="H183" s="3" t="s">
        <v>400</v>
      </c>
      <c r="I183" s="3" t="s">
        <v>604</v>
      </c>
      <c r="J183" s="3" t="s">
        <v>596</v>
      </c>
      <c r="K183" s="3" t="s">
        <v>852</v>
      </c>
      <c r="L183" s="4">
        <v>42909</v>
      </c>
    </row>
    <row r="184" spans="1:12" x14ac:dyDescent="0.6">
      <c r="A184" s="3" t="s">
        <v>176</v>
      </c>
      <c r="B184" s="3" t="s">
        <v>96</v>
      </c>
      <c r="C184" s="3" t="s">
        <v>397</v>
      </c>
      <c r="D184" s="3">
        <v>43.902999999999999</v>
      </c>
      <c r="E184" s="3">
        <v>-91.639859999999999</v>
      </c>
      <c r="F184" s="3" t="s">
        <v>640</v>
      </c>
      <c r="G184" s="3" t="s">
        <v>853</v>
      </c>
      <c r="H184" s="3" t="s">
        <v>400</v>
      </c>
      <c r="I184" s="3" t="s">
        <v>401</v>
      </c>
      <c r="J184" s="3" t="s">
        <v>642</v>
      </c>
      <c r="K184" s="3" t="s">
        <v>854</v>
      </c>
      <c r="L184" s="4">
        <v>42919</v>
      </c>
    </row>
    <row r="185" spans="1:12" x14ac:dyDescent="0.6">
      <c r="A185" s="3" t="s">
        <v>177</v>
      </c>
      <c r="B185" s="3" t="s">
        <v>54</v>
      </c>
      <c r="C185" s="3" t="s">
        <v>397</v>
      </c>
      <c r="D185" s="3">
        <v>43.891579999999998</v>
      </c>
      <c r="E185" s="3">
        <v>-91.648290000000003</v>
      </c>
      <c r="F185" s="3" t="s">
        <v>640</v>
      </c>
      <c r="G185" s="3" t="s">
        <v>855</v>
      </c>
      <c r="H185" s="3" t="s">
        <v>400</v>
      </c>
      <c r="I185" s="3" t="s">
        <v>401</v>
      </c>
      <c r="J185" s="3" t="s">
        <v>642</v>
      </c>
      <c r="K185" s="3" t="s">
        <v>856</v>
      </c>
      <c r="L185" s="4">
        <v>42919</v>
      </c>
    </row>
    <row r="186" spans="1:12" x14ac:dyDescent="0.6">
      <c r="A186" s="3" t="s">
        <v>178</v>
      </c>
      <c r="B186" s="3" t="s">
        <v>11</v>
      </c>
      <c r="C186" s="3" t="s">
        <v>397</v>
      </c>
      <c r="D186" s="3">
        <v>49.711869999999998</v>
      </c>
      <c r="E186" s="3">
        <v>-95.244560000000007</v>
      </c>
      <c r="F186" s="3" t="s">
        <v>857</v>
      </c>
      <c r="G186" s="3" t="s">
        <v>858</v>
      </c>
      <c r="H186" s="3" t="s">
        <v>646</v>
      </c>
      <c r="I186" s="3" t="s">
        <v>647</v>
      </c>
      <c r="J186" s="3" t="s">
        <v>859</v>
      </c>
      <c r="K186" s="3" t="s">
        <v>860</v>
      </c>
      <c r="L186" s="4">
        <v>42922</v>
      </c>
    </row>
    <row r="187" spans="1:12" x14ac:dyDescent="0.6">
      <c r="A187" s="3" t="s">
        <v>180</v>
      </c>
      <c r="B187" s="3" t="s">
        <v>11</v>
      </c>
      <c r="C187" s="3" t="s">
        <v>397</v>
      </c>
      <c r="D187" s="3">
        <v>49.760550000000002</v>
      </c>
      <c r="E187" s="3">
        <v>-99.158439999999999</v>
      </c>
      <c r="F187" s="3" t="s">
        <v>644</v>
      </c>
      <c r="G187" s="3" t="s">
        <v>861</v>
      </c>
      <c r="H187" s="3" t="s">
        <v>646</v>
      </c>
      <c r="I187" s="3" t="s">
        <v>647</v>
      </c>
      <c r="J187" s="3" t="s">
        <v>596</v>
      </c>
      <c r="K187" s="3" t="s">
        <v>862</v>
      </c>
      <c r="L187" s="4">
        <v>42923</v>
      </c>
    </row>
    <row r="188" spans="1:12" x14ac:dyDescent="0.6">
      <c r="A188" s="3" t="s">
        <v>182</v>
      </c>
      <c r="B188" s="3" t="s">
        <v>11</v>
      </c>
      <c r="C188" s="3" t="s">
        <v>397</v>
      </c>
      <c r="D188" s="3">
        <v>46.023829999999997</v>
      </c>
      <c r="E188" s="3">
        <v>-91.145570000000006</v>
      </c>
      <c r="F188" s="3" t="s">
        <v>652</v>
      </c>
      <c r="G188" s="3" t="s">
        <v>863</v>
      </c>
      <c r="H188" s="3" t="s">
        <v>400</v>
      </c>
      <c r="I188" s="3" t="s">
        <v>487</v>
      </c>
      <c r="J188" s="3" t="s">
        <v>596</v>
      </c>
      <c r="K188" s="3" t="s">
        <v>864</v>
      </c>
      <c r="L188" s="4">
        <v>42925</v>
      </c>
    </row>
    <row r="189" spans="1:12" x14ac:dyDescent="0.6">
      <c r="A189" s="3" t="s">
        <v>184</v>
      </c>
      <c r="B189" s="3" t="s">
        <v>11</v>
      </c>
      <c r="C189" s="3" t="s">
        <v>397</v>
      </c>
      <c r="D189" s="3">
        <v>46.0244</v>
      </c>
      <c r="E189" s="3">
        <v>-91.129450000000006</v>
      </c>
      <c r="F189" s="3" t="s">
        <v>652</v>
      </c>
      <c r="G189" s="3" t="s">
        <v>865</v>
      </c>
      <c r="H189" s="3" t="s">
        <v>400</v>
      </c>
      <c r="I189" s="3" t="s">
        <v>487</v>
      </c>
      <c r="J189" s="3" t="s">
        <v>596</v>
      </c>
      <c r="K189" s="3" t="s">
        <v>866</v>
      </c>
      <c r="L189" s="4">
        <v>42925</v>
      </c>
    </row>
    <row r="190" spans="1:12" x14ac:dyDescent="0.6">
      <c r="A190" s="3" t="s">
        <v>186</v>
      </c>
      <c r="B190" s="3" t="s">
        <v>11</v>
      </c>
      <c r="C190" s="3" t="s">
        <v>397</v>
      </c>
      <c r="D190" s="3">
        <v>38.963585999999999</v>
      </c>
      <c r="E190" s="3">
        <v>-98.589060000000003</v>
      </c>
      <c r="F190" s="3" t="s">
        <v>655</v>
      </c>
      <c r="G190" s="3" t="s">
        <v>867</v>
      </c>
      <c r="H190" s="3" t="s">
        <v>400</v>
      </c>
      <c r="I190" s="3" t="s">
        <v>657</v>
      </c>
      <c r="J190" s="3" t="s">
        <v>658</v>
      </c>
      <c r="K190" s="3" t="s">
        <v>868</v>
      </c>
      <c r="L190" s="3" t="s">
        <v>422</v>
      </c>
    </row>
    <row r="191" spans="1:12" x14ac:dyDescent="0.6">
      <c r="A191" s="3" t="s">
        <v>187</v>
      </c>
      <c r="B191" s="3" t="s">
        <v>11</v>
      </c>
      <c r="C191" s="3" t="s">
        <v>397</v>
      </c>
      <c r="D191" s="3">
        <v>38.842944000000003</v>
      </c>
      <c r="E191" s="3">
        <v>-97.588909000000001</v>
      </c>
      <c r="F191" s="3" t="s">
        <v>869</v>
      </c>
      <c r="G191" s="3" t="s">
        <v>870</v>
      </c>
      <c r="H191" s="3" t="s">
        <v>400</v>
      </c>
      <c r="I191" s="3" t="s">
        <v>657</v>
      </c>
      <c r="J191" s="3" t="s">
        <v>658</v>
      </c>
      <c r="K191" s="3" t="s">
        <v>871</v>
      </c>
      <c r="L191" s="3">
        <v>2017</v>
      </c>
    </row>
    <row r="192" spans="1:12" x14ac:dyDescent="0.6">
      <c r="A192" s="3" t="s">
        <v>188</v>
      </c>
      <c r="B192" s="3" t="s">
        <v>11</v>
      </c>
      <c r="C192" s="3" t="s">
        <v>397</v>
      </c>
      <c r="D192" s="3">
        <v>38.842944000000003</v>
      </c>
      <c r="E192" s="3">
        <v>-97.588909000000001</v>
      </c>
      <c r="F192" s="3" t="s">
        <v>869</v>
      </c>
      <c r="G192" s="3" t="s">
        <v>872</v>
      </c>
      <c r="H192" s="3" t="s">
        <v>400</v>
      </c>
      <c r="I192" s="3" t="s">
        <v>657</v>
      </c>
      <c r="J192" s="3" t="s">
        <v>658</v>
      </c>
      <c r="K192" s="3" t="s">
        <v>873</v>
      </c>
      <c r="L192" s="3">
        <v>2017</v>
      </c>
    </row>
    <row r="193" spans="1:12" x14ac:dyDescent="0.6">
      <c r="A193" s="3" t="s">
        <v>189</v>
      </c>
      <c r="B193" s="3" t="s">
        <v>11</v>
      </c>
      <c r="C193" s="3" t="s">
        <v>397</v>
      </c>
      <c r="D193" s="3">
        <v>39.839311000000002</v>
      </c>
      <c r="E193" s="3">
        <v>-88.367744999999999</v>
      </c>
      <c r="F193" s="3" t="s">
        <v>660</v>
      </c>
      <c r="G193" s="3" t="s">
        <v>874</v>
      </c>
      <c r="H193" s="3" t="s">
        <v>400</v>
      </c>
      <c r="I193" s="3" t="s">
        <v>445</v>
      </c>
      <c r="J193" s="3" t="s">
        <v>658</v>
      </c>
      <c r="K193" s="3" t="s">
        <v>875</v>
      </c>
      <c r="L193" s="3" t="s">
        <v>422</v>
      </c>
    </row>
    <row r="194" spans="1:12" x14ac:dyDescent="0.6">
      <c r="A194" s="3" t="s">
        <v>190</v>
      </c>
      <c r="B194" s="3" t="s">
        <v>11</v>
      </c>
      <c r="C194" s="3" t="s">
        <v>397</v>
      </c>
      <c r="D194" s="3">
        <v>39.839311000000002</v>
      </c>
      <c r="E194" s="3">
        <v>-88.367744999999999</v>
      </c>
      <c r="F194" s="3" t="s">
        <v>660</v>
      </c>
      <c r="G194" s="3" t="s">
        <v>876</v>
      </c>
      <c r="H194" s="3" t="s">
        <v>400</v>
      </c>
      <c r="I194" s="3" t="s">
        <v>445</v>
      </c>
      <c r="J194" s="3" t="s">
        <v>658</v>
      </c>
      <c r="K194" s="3" t="s">
        <v>877</v>
      </c>
      <c r="L194" s="3" t="s">
        <v>422</v>
      </c>
    </row>
    <row r="195" spans="1:12" x14ac:dyDescent="0.6">
      <c r="A195" s="3" t="s">
        <v>193</v>
      </c>
      <c r="B195" s="3" t="s">
        <v>11</v>
      </c>
      <c r="C195" s="3" t="s">
        <v>397</v>
      </c>
      <c r="D195" s="3">
        <v>39.839311000000002</v>
      </c>
      <c r="E195" s="3">
        <v>-88.367744999999999</v>
      </c>
      <c r="F195" s="3" t="s">
        <v>660</v>
      </c>
      <c r="G195" s="3" t="s">
        <v>878</v>
      </c>
      <c r="H195" s="3" t="s">
        <v>400</v>
      </c>
      <c r="I195" s="3" t="s">
        <v>445</v>
      </c>
      <c r="J195" s="3" t="s">
        <v>658</v>
      </c>
      <c r="K195" s="3" t="s">
        <v>879</v>
      </c>
      <c r="L195" s="3" t="s">
        <v>422</v>
      </c>
    </row>
    <row r="196" spans="1:12" x14ac:dyDescent="0.6">
      <c r="A196" s="3" t="s">
        <v>196</v>
      </c>
      <c r="B196" s="3" t="s">
        <v>11</v>
      </c>
      <c r="C196" s="3" t="s">
        <v>397</v>
      </c>
      <c r="D196" s="3">
        <v>37.516509999999997</v>
      </c>
      <c r="E196" s="3">
        <v>-89.445419999999999</v>
      </c>
      <c r="F196" s="3" t="s">
        <v>665</v>
      </c>
      <c r="G196" s="3" t="s">
        <v>880</v>
      </c>
      <c r="H196" s="3" t="s">
        <v>400</v>
      </c>
      <c r="I196" s="3" t="s">
        <v>445</v>
      </c>
      <c r="J196" s="3" t="s">
        <v>596</v>
      </c>
      <c r="K196" s="3" t="s">
        <v>881</v>
      </c>
      <c r="L196" s="4">
        <v>42941</v>
      </c>
    </row>
    <row r="197" spans="1:12" x14ac:dyDescent="0.6">
      <c r="A197" s="3" t="s">
        <v>197</v>
      </c>
      <c r="B197" s="3" t="s">
        <v>11</v>
      </c>
      <c r="C197" s="3" t="s">
        <v>397</v>
      </c>
      <c r="D197" s="3">
        <v>37.51726</v>
      </c>
      <c r="E197" s="3">
        <v>-89.445840000000004</v>
      </c>
      <c r="F197" s="3" t="s">
        <v>665</v>
      </c>
      <c r="G197" s="3" t="s">
        <v>882</v>
      </c>
      <c r="H197" s="3" t="s">
        <v>400</v>
      </c>
      <c r="I197" s="3" t="s">
        <v>445</v>
      </c>
      <c r="J197" s="3" t="s">
        <v>596</v>
      </c>
      <c r="K197" s="3" t="s">
        <v>883</v>
      </c>
      <c r="L197" s="4">
        <v>42941</v>
      </c>
    </row>
    <row r="198" spans="1:12" x14ac:dyDescent="0.6">
      <c r="A198" s="3" t="s">
        <v>199</v>
      </c>
      <c r="B198" s="3" t="s">
        <v>11</v>
      </c>
      <c r="C198" s="3" t="s">
        <v>397</v>
      </c>
      <c r="D198" s="3">
        <v>38.73603</v>
      </c>
      <c r="E198" s="3">
        <v>-86.412549999999996</v>
      </c>
      <c r="F198" s="3" t="s">
        <v>670</v>
      </c>
      <c r="G198" s="3" t="s">
        <v>884</v>
      </c>
      <c r="H198" s="3" t="s">
        <v>400</v>
      </c>
      <c r="I198" s="3" t="s">
        <v>672</v>
      </c>
      <c r="J198" s="3" t="s">
        <v>596</v>
      </c>
      <c r="K198" s="3" t="s">
        <v>885</v>
      </c>
      <c r="L198" s="4">
        <v>42942</v>
      </c>
    </row>
    <row r="199" spans="1:12" x14ac:dyDescent="0.6">
      <c r="A199" s="3" t="s">
        <v>201</v>
      </c>
      <c r="B199" s="3" t="s">
        <v>11</v>
      </c>
      <c r="C199" s="3" t="s">
        <v>397</v>
      </c>
      <c r="D199" s="3">
        <v>38.738329999999998</v>
      </c>
      <c r="E199" s="3">
        <v>-86.413460000000001</v>
      </c>
      <c r="F199" s="3" t="s">
        <v>670</v>
      </c>
      <c r="G199" s="3" t="s">
        <v>886</v>
      </c>
      <c r="H199" s="3" t="s">
        <v>400</v>
      </c>
      <c r="I199" s="3" t="s">
        <v>672</v>
      </c>
      <c r="J199" s="3" t="s">
        <v>596</v>
      </c>
      <c r="K199" s="3" t="s">
        <v>887</v>
      </c>
      <c r="L199" s="4">
        <v>42942</v>
      </c>
    </row>
    <row r="200" spans="1:12" x14ac:dyDescent="0.6">
      <c r="A200" s="3" t="s">
        <v>203</v>
      </c>
      <c r="B200" s="3" t="s">
        <v>96</v>
      </c>
      <c r="C200" s="3" t="s">
        <v>397</v>
      </c>
      <c r="D200" s="3">
        <v>40.457909999999998</v>
      </c>
      <c r="E200" s="3">
        <v>-85.50685</v>
      </c>
      <c r="F200" s="3" t="s">
        <v>678</v>
      </c>
      <c r="G200" s="3" t="s">
        <v>888</v>
      </c>
      <c r="H200" s="3" t="s">
        <v>400</v>
      </c>
      <c r="I200" s="3" t="s">
        <v>672</v>
      </c>
      <c r="J200" s="3" t="s">
        <v>596</v>
      </c>
      <c r="K200" s="3" t="s">
        <v>889</v>
      </c>
      <c r="L200" s="4">
        <v>42943</v>
      </c>
    </row>
    <row r="201" spans="1:12" x14ac:dyDescent="0.6">
      <c r="A201" s="3" t="s">
        <v>206</v>
      </c>
      <c r="B201" s="3" t="s">
        <v>11</v>
      </c>
      <c r="C201" s="3" t="s">
        <v>397</v>
      </c>
      <c r="D201" s="3">
        <v>40.459110000000003</v>
      </c>
      <c r="E201" s="3">
        <v>-85.508780000000002</v>
      </c>
      <c r="F201" s="3" t="s">
        <v>678</v>
      </c>
      <c r="G201" s="3" t="s">
        <v>890</v>
      </c>
      <c r="H201" s="3" t="s">
        <v>400</v>
      </c>
      <c r="I201" s="3" t="s">
        <v>672</v>
      </c>
      <c r="J201" s="3" t="s">
        <v>596</v>
      </c>
      <c r="K201" s="3" t="s">
        <v>891</v>
      </c>
      <c r="L201" s="4">
        <v>42943</v>
      </c>
    </row>
    <row r="202" spans="1:12" x14ac:dyDescent="0.6">
      <c r="A202" s="3" t="s">
        <v>208</v>
      </c>
      <c r="B202" s="3" t="s">
        <v>54</v>
      </c>
      <c r="C202" s="3" t="s">
        <v>397</v>
      </c>
      <c r="D202" s="3">
        <v>40.459159999999997</v>
      </c>
      <c r="E202" s="3">
        <v>-85.509730000000005</v>
      </c>
      <c r="F202" s="3" t="s">
        <v>678</v>
      </c>
      <c r="G202" s="3" t="s">
        <v>892</v>
      </c>
      <c r="H202" s="3" t="s">
        <v>400</v>
      </c>
      <c r="I202" s="3" t="s">
        <v>672</v>
      </c>
      <c r="J202" s="3" t="s">
        <v>596</v>
      </c>
      <c r="K202" s="3" t="s">
        <v>893</v>
      </c>
      <c r="L202" s="4">
        <v>42943</v>
      </c>
    </row>
    <row r="203" spans="1:12" x14ac:dyDescent="0.6">
      <c r="A203" s="3" t="s">
        <v>209</v>
      </c>
      <c r="B203" s="3" t="s">
        <v>11</v>
      </c>
      <c r="C203" s="3" t="s">
        <v>397</v>
      </c>
      <c r="D203" s="3">
        <v>41.532730000000001</v>
      </c>
      <c r="E203" s="3">
        <v>-87.294799999999995</v>
      </c>
      <c r="F203" s="3" t="s">
        <v>894</v>
      </c>
      <c r="G203" s="3" t="s">
        <v>895</v>
      </c>
      <c r="H203" s="3" t="s">
        <v>400</v>
      </c>
      <c r="I203" s="3" t="s">
        <v>672</v>
      </c>
      <c r="J203" s="3" t="s">
        <v>596</v>
      </c>
      <c r="K203" s="3" t="s">
        <v>896</v>
      </c>
      <c r="L203" s="4">
        <v>42949</v>
      </c>
    </row>
    <row r="204" spans="1:12" x14ac:dyDescent="0.6">
      <c r="A204" s="3" t="s">
        <v>210</v>
      </c>
      <c r="B204" s="3" t="s">
        <v>11</v>
      </c>
      <c r="C204" s="3" t="s">
        <v>397</v>
      </c>
      <c r="D204" s="3">
        <v>41.534030000000001</v>
      </c>
      <c r="E204" s="3">
        <v>-87.291460000000001</v>
      </c>
      <c r="F204" s="3" t="s">
        <v>894</v>
      </c>
      <c r="G204" s="3" t="s">
        <v>897</v>
      </c>
      <c r="H204" s="3" t="s">
        <v>400</v>
      </c>
      <c r="I204" s="3" t="s">
        <v>672</v>
      </c>
      <c r="J204" s="3" t="s">
        <v>596</v>
      </c>
      <c r="K204" s="3" t="s">
        <v>898</v>
      </c>
      <c r="L204" s="4">
        <v>42949</v>
      </c>
    </row>
    <row r="205" spans="1:12" x14ac:dyDescent="0.6">
      <c r="A205" s="3" t="s">
        <v>211</v>
      </c>
      <c r="B205" s="3" t="s">
        <v>11</v>
      </c>
      <c r="C205" s="3" t="s">
        <v>397</v>
      </c>
      <c r="D205" s="3">
        <v>41.532389999999999</v>
      </c>
      <c r="E205" s="3">
        <v>-87.297079999999994</v>
      </c>
      <c r="F205" s="3" t="s">
        <v>894</v>
      </c>
      <c r="G205" s="3" t="s">
        <v>899</v>
      </c>
      <c r="H205" s="3" t="s">
        <v>400</v>
      </c>
      <c r="I205" s="3" t="s">
        <v>672</v>
      </c>
      <c r="J205" s="3" t="s">
        <v>596</v>
      </c>
      <c r="K205" s="3" t="s">
        <v>900</v>
      </c>
      <c r="L205" s="4">
        <v>42949</v>
      </c>
    </row>
    <row r="206" spans="1:12" x14ac:dyDescent="0.6">
      <c r="A206" s="3" t="s">
        <v>213</v>
      </c>
      <c r="B206" s="3" t="s">
        <v>54</v>
      </c>
      <c r="C206" s="3" t="s">
        <v>397</v>
      </c>
      <c r="D206" s="3">
        <v>41.659550000000003</v>
      </c>
      <c r="E206" s="3">
        <v>-87.062179999999998</v>
      </c>
      <c r="F206" s="3" t="s">
        <v>683</v>
      </c>
      <c r="G206" s="3" t="s">
        <v>901</v>
      </c>
      <c r="H206" s="3" t="s">
        <v>400</v>
      </c>
      <c r="I206" s="3" t="s">
        <v>672</v>
      </c>
      <c r="J206" s="3" t="s">
        <v>685</v>
      </c>
      <c r="K206" s="3" t="s">
        <v>902</v>
      </c>
      <c r="L206" s="4">
        <v>42957</v>
      </c>
    </row>
    <row r="207" spans="1:12" x14ac:dyDescent="0.6">
      <c r="A207" s="3" t="s">
        <v>214</v>
      </c>
      <c r="B207" s="3" t="s">
        <v>54</v>
      </c>
      <c r="C207" s="3" t="s">
        <v>397</v>
      </c>
      <c r="D207" s="3">
        <v>41.659469999999999</v>
      </c>
      <c r="E207" s="3">
        <v>-87.049940000000007</v>
      </c>
      <c r="F207" s="3" t="s">
        <v>683</v>
      </c>
      <c r="G207" s="3" t="s">
        <v>903</v>
      </c>
      <c r="H207" s="3" t="s">
        <v>400</v>
      </c>
      <c r="I207" s="3" t="s">
        <v>672</v>
      </c>
      <c r="J207" s="3" t="s">
        <v>685</v>
      </c>
      <c r="K207" s="3" t="s">
        <v>904</v>
      </c>
      <c r="L207" s="4">
        <v>42957</v>
      </c>
    </row>
    <row r="208" spans="1:12" x14ac:dyDescent="0.6">
      <c r="A208" s="3" t="s">
        <v>216</v>
      </c>
      <c r="B208" s="3" t="s">
        <v>11</v>
      </c>
      <c r="C208" s="3" t="s">
        <v>397</v>
      </c>
      <c r="D208" s="3">
        <v>42.166586899999999</v>
      </c>
      <c r="E208" s="3">
        <v>-73.412025</v>
      </c>
      <c r="F208" s="3" t="s">
        <v>692</v>
      </c>
      <c r="G208" s="3" t="s">
        <v>905</v>
      </c>
      <c r="H208" s="3" t="s">
        <v>400</v>
      </c>
      <c r="I208" s="3" t="s">
        <v>694</v>
      </c>
      <c r="J208" s="3" t="s">
        <v>690</v>
      </c>
      <c r="K208" s="3" t="s">
        <v>906</v>
      </c>
      <c r="L208" s="4">
        <v>42960</v>
      </c>
    </row>
    <row r="209" spans="1:12" x14ac:dyDescent="0.6">
      <c r="A209" s="3" t="s">
        <v>218</v>
      </c>
      <c r="B209" s="3" t="s">
        <v>11</v>
      </c>
      <c r="C209" s="3" t="s">
        <v>397</v>
      </c>
      <c r="D209" s="3">
        <v>42.910287599999997</v>
      </c>
      <c r="E209" s="3">
        <v>-73.219555999999997</v>
      </c>
      <c r="F209" s="3" t="s">
        <v>907</v>
      </c>
      <c r="G209" s="3" t="s">
        <v>908</v>
      </c>
      <c r="H209" s="3" t="s">
        <v>400</v>
      </c>
      <c r="I209" s="3" t="s">
        <v>698</v>
      </c>
      <c r="J209" s="3" t="s">
        <v>690</v>
      </c>
      <c r="K209" s="3" t="s">
        <v>909</v>
      </c>
      <c r="L209" s="4">
        <v>42960</v>
      </c>
    </row>
    <row r="210" spans="1:12" x14ac:dyDescent="0.6">
      <c r="A210" s="3" t="s">
        <v>219</v>
      </c>
      <c r="B210" s="3" t="s">
        <v>11</v>
      </c>
      <c r="C210" s="3" t="s">
        <v>397</v>
      </c>
      <c r="D210" s="3">
        <v>42.910269</v>
      </c>
      <c r="E210" s="3">
        <v>-73.219521999999998</v>
      </c>
      <c r="F210" s="3" t="s">
        <v>907</v>
      </c>
      <c r="G210" s="3" t="s">
        <v>910</v>
      </c>
      <c r="H210" s="3" t="s">
        <v>400</v>
      </c>
      <c r="I210" s="3" t="s">
        <v>698</v>
      </c>
      <c r="J210" s="3" t="s">
        <v>690</v>
      </c>
      <c r="K210" s="3" t="s">
        <v>911</v>
      </c>
      <c r="L210" s="4">
        <v>42960</v>
      </c>
    </row>
    <row r="211" spans="1:12" x14ac:dyDescent="0.6">
      <c r="A211" s="3" t="s">
        <v>220</v>
      </c>
      <c r="B211" s="3" t="s">
        <v>11</v>
      </c>
      <c r="C211" s="3" t="s">
        <v>397</v>
      </c>
      <c r="D211" s="3">
        <v>42.909897000000001</v>
      </c>
      <c r="E211" s="3">
        <v>-73.218711999999996</v>
      </c>
      <c r="F211" s="3" t="s">
        <v>907</v>
      </c>
      <c r="G211" s="3" t="s">
        <v>912</v>
      </c>
      <c r="H211" s="3" t="s">
        <v>400</v>
      </c>
      <c r="I211" s="3" t="s">
        <v>698</v>
      </c>
      <c r="J211" s="3" t="s">
        <v>690</v>
      </c>
      <c r="K211" s="3" t="s">
        <v>913</v>
      </c>
      <c r="L211" s="4">
        <v>42960</v>
      </c>
    </row>
    <row r="212" spans="1:12" x14ac:dyDescent="0.6">
      <c r="A212" s="3" t="s">
        <v>222</v>
      </c>
      <c r="B212" s="3" t="s">
        <v>11</v>
      </c>
      <c r="C212" s="3" t="s">
        <v>397</v>
      </c>
      <c r="D212" s="3">
        <v>43.583612299999999</v>
      </c>
      <c r="E212" s="3">
        <v>-73.202578000000003</v>
      </c>
      <c r="F212" s="3" t="s">
        <v>696</v>
      </c>
      <c r="G212" s="3" t="s">
        <v>914</v>
      </c>
      <c r="H212" s="3" t="s">
        <v>400</v>
      </c>
      <c r="I212" s="3" t="s">
        <v>698</v>
      </c>
      <c r="J212" s="3" t="s">
        <v>690</v>
      </c>
      <c r="K212" s="3" t="s">
        <v>915</v>
      </c>
      <c r="L212" s="4">
        <v>42960</v>
      </c>
    </row>
    <row r="213" spans="1:12" x14ac:dyDescent="0.6">
      <c r="A213" s="3" t="s">
        <v>223</v>
      </c>
      <c r="B213" s="3" t="s">
        <v>11</v>
      </c>
      <c r="C213" s="3" t="s">
        <v>397</v>
      </c>
      <c r="D213" s="3">
        <v>43.743234299999997</v>
      </c>
      <c r="E213" s="3">
        <v>-73.048410000000004</v>
      </c>
      <c r="F213" s="3" t="s">
        <v>696</v>
      </c>
      <c r="G213" s="3" t="s">
        <v>916</v>
      </c>
      <c r="H213" s="3" t="s">
        <v>400</v>
      </c>
      <c r="I213" s="3" t="s">
        <v>698</v>
      </c>
      <c r="J213" s="3" t="s">
        <v>690</v>
      </c>
      <c r="K213" s="3" t="s">
        <v>917</v>
      </c>
      <c r="L213" s="4">
        <v>42960</v>
      </c>
    </row>
    <row r="214" spans="1:12" x14ac:dyDescent="0.6">
      <c r="A214" s="3" t="s">
        <v>224</v>
      </c>
      <c r="B214" s="3" t="s">
        <v>11</v>
      </c>
      <c r="C214" s="3" t="s">
        <v>397</v>
      </c>
      <c r="D214" s="3">
        <v>43.916670400000001</v>
      </c>
      <c r="E214" s="3">
        <v>-73.193560000000005</v>
      </c>
      <c r="F214" s="3" t="s">
        <v>918</v>
      </c>
      <c r="G214" s="3" t="s">
        <v>919</v>
      </c>
      <c r="H214" s="3" t="s">
        <v>400</v>
      </c>
      <c r="I214" s="3" t="s">
        <v>698</v>
      </c>
      <c r="J214" s="3" t="s">
        <v>690</v>
      </c>
      <c r="K214" s="3" t="s">
        <v>920</v>
      </c>
      <c r="L214" s="4">
        <v>42960</v>
      </c>
    </row>
    <row r="215" spans="1:12" x14ac:dyDescent="0.6">
      <c r="A215" s="3" t="s">
        <v>225</v>
      </c>
      <c r="B215" s="3" t="s">
        <v>11</v>
      </c>
      <c r="C215" s="3" t="s">
        <v>397</v>
      </c>
      <c r="D215" s="3">
        <v>43.951352</v>
      </c>
      <c r="E215" s="3">
        <v>-73.222776999999994</v>
      </c>
      <c r="F215" s="3" t="s">
        <v>918</v>
      </c>
      <c r="G215" s="3" t="s">
        <v>921</v>
      </c>
      <c r="H215" s="3" t="s">
        <v>400</v>
      </c>
      <c r="I215" s="3" t="s">
        <v>698</v>
      </c>
      <c r="J215" s="3" t="s">
        <v>690</v>
      </c>
      <c r="K215" s="3" t="s">
        <v>922</v>
      </c>
      <c r="L215" s="4">
        <v>42960</v>
      </c>
    </row>
    <row r="216" spans="1:12" x14ac:dyDescent="0.6">
      <c r="A216" s="3" t="s">
        <v>226</v>
      </c>
      <c r="B216" s="3" t="s">
        <v>11</v>
      </c>
      <c r="C216" s="3" t="s">
        <v>397</v>
      </c>
      <c r="D216" s="3">
        <v>44.005934699999997</v>
      </c>
      <c r="E216" s="3">
        <v>-73.148043999999999</v>
      </c>
      <c r="F216" s="3" t="s">
        <v>918</v>
      </c>
      <c r="G216" s="3" t="s">
        <v>923</v>
      </c>
      <c r="H216" s="3" t="s">
        <v>400</v>
      </c>
      <c r="I216" s="3" t="s">
        <v>698</v>
      </c>
      <c r="J216" s="3" t="s">
        <v>690</v>
      </c>
      <c r="K216" s="3" t="s">
        <v>924</v>
      </c>
      <c r="L216" s="4">
        <v>42961</v>
      </c>
    </row>
    <row r="217" spans="1:12" x14ac:dyDescent="0.6">
      <c r="A217" s="3" t="s">
        <v>227</v>
      </c>
      <c r="B217" s="3" t="s">
        <v>11</v>
      </c>
      <c r="C217" s="3" t="s">
        <v>397</v>
      </c>
      <c r="D217" s="3">
        <v>44.234328699999999</v>
      </c>
      <c r="E217" s="3">
        <v>-73.243211000000002</v>
      </c>
      <c r="F217" s="3" t="s">
        <v>925</v>
      </c>
      <c r="G217" s="3" t="s">
        <v>926</v>
      </c>
      <c r="H217" s="3" t="s">
        <v>400</v>
      </c>
      <c r="I217" s="3" t="s">
        <v>698</v>
      </c>
      <c r="J217" s="3" t="s">
        <v>690</v>
      </c>
      <c r="K217" s="3" t="s">
        <v>927</v>
      </c>
      <c r="L217" s="4">
        <v>42961</v>
      </c>
    </row>
    <row r="218" spans="1:12" x14ac:dyDescent="0.6">
      <c r="A218" s="3" t="s">
        <v>228</v>
      </c>
      <c r="B218" s="3" t="s">
        <v>54</v>
      </c>
      <c r="C218" s="3" t="s">
        <v>397</v>
      </c>
      <c r="D218" s="3">
        <v>44.235423300000001</v>
      </c>
      <c r="E218" s="3">
        <v>-73.243421999999995</v>
      </c>
      <c r="F218" s="3" t="s">
        <v>925</v>
      </c>
      <c r="G218" s="3" t="s">
        <v>928</v>
      </c>
      <c r="H218" s="3" t="s">
        <v>400</v>
      </c>
      <c r="I218" s="3" t="s">
        <v>698</v>
      </c>
      <c r="J218" s="3" t="s">
        <v>690</v>
      </c>
      <c r="K218" s="3" t="s">
        <v>929</v>
      </c>
      <c r="L218" s="4">
        <v>42961</v>
      </c>
    </row>
    <row r="219" spans="1:12" x14ac:dyDescent="0.6">
      <c r="A219" s="3" t="s">
        <v>229</v>
      </c>
      <c r="B219" s="3" t="s">
        <v>11</v>
      </c>
      <c r="C219" s="3" t="s">
        <v>397</v>
      </c>
      <c r="D219" s="3">
        <v>44.233935600000002</v>
      </c>
      <c r="E219" s="3">
        <v>-73.243122</v>
      </c>
      <c r="F219" s="3" t="s">
        <v>925</v>
      </c>
      <c r="G219" s="3" t="s">
        <v>930</v>
      </c>
      <c r="H219" s="3" t="s">
        <v>400</v>
      </c>
      <c r="I219" s="3" t="s">
        <v>698</v>
      </c>
      <c r="J219" s="3" t="s">
        <v>690</v>
      </c>
      <c r="K219" s="3" t="s">
        <v>931</v>
      </c>
      <c r="L219" s="4">
        <v>42961</v>
      </c>
    </row>
    <row r="220" spans="1:12" x14ac:dyDescent="0.6">
      <c r="A220" s="3" t="s">
        <v>230</v>
      </c>
      <c r="B220" s="3" t="s">
        <v>11</v>
      </c>
      <c r="C220" s="3" t="s">
        <v>397</v>
      </c>
      <c r="D220" s="3">
        <v>44.264336800000002</v>
      </c>
      <c r="E220" s="3">
        <v>-73.249726999999993</v>
      </c>
      <c r="F220" s="3" t="s">
        <v>925</v>
      </c>
      <c r="G220" s="3" t="s">
        <v>932</v>
      </c>
      <c r="H220" s="3" t="s">
        <v>400</v>
      </c>
      <c r="I220" s="3" t="s">
        <v>698</v>
      </c>
      <c r="J220" s="3" t="s">
        <v>690</v>
      </c>
      <c r="K220" s="3" t="s">
        <v>933</v>
      </c>
      <c r="L220" s="4">
        <v>42961</v>
      </c>
    </row>
    <row r="221" spans="1:12" x14ac:dyDescent="0.6">
      <c r="A221" s="3" t="s">
        <v>934</v>
      </c>
      <c r="B221" s="3" t="s">
        <v>54</v>
      </c>
      <c r="C221" s="3" t="s">
        <v>397</v>
      </c>
      <c r="D221" s="3">
        <v>44.446429999999999</v>
      </c>
      <c r="E221" s="3">
        <v>-73.220372999999995</v>
      </c>
      <c r="F221" s="3" t="s">
        <v>700</v>
      </c>
      <c r="G221" s="3" t="s">
        <v>935</v>
      </c>
      <c r="H221" s="3" t="s">
        <v>400</v>
      </c>
      <c r="I221" s="3" t="s">
        <v>698</v>
      </c>
      <c r="J221" s="3" t="s">
        <v>690</v>
      </c>
      <c r="K221" s="3" t="s">
        <v>936</v>
      </c>
      <c r="L221" s="4">
        <v>42961</v>
      </c>
    </row>
    <row r="222" spans="1:12" x14ac:dyDescent="0.6">
      <c r="A222" s="3" t="s">
        <v>232</v>
      </c>
      <c r="B222" s="3" t="s">
        <v>11</v>
      </c>
      <c r="C222" s="3" t="s">
        <v>397</v>
      </c>
      <c r="D222" s="3">
        <v>44.579249900000001</v>
      </c>
      <c r="E222" s="3">
        <v>-73.165538999999995</v>
      </c>
      <c r="F222" s="3" t="s">
        <v>700</v>
      </c>
      <c r="G222" s="3" t="s">
        <v>937</v>
      </c>
      <c r="H222" s="3" t="s">
        <v>400</v>
      </c>
      <c r="I222" s="3" t="s">
        <v>698</v>
      </c>
      <c r="J222" s="3" t="s">
        <v>690</v>
      </c>
      <c r="K222" s="3" t="s">
        <v>938</v>
      </c>
      <c r="L222" s="4">
        <v>42961</v>
      </c>
    </row>
    <row r="223" spans="1:12" x14ac:dyDescent="0.6">
      <c r="A223" s="3" t="s">
        <v>233</v>
      </c>
      <c r="B223" s="3" t="s">
        <v>11</v>
      </c>
      <c r="C223" s="3" t="s">
        <v>397</v>
      </c>
      <c r="D223" s="3">
        <v>44.667524100000001</v>
      </c>
      <c r="E223" s="3">
        <v>-73.344893999999996</v>
      </c>
      <c r="F223" s="3" t="s">
        <v>939</v>
      </c>
      <c r="G223" s="3" t="s">
        <v>940</v>
      </c>
      <c r="H223" s="3" t="s">
        <v>400</v>
      </c>
      <c r="I223" s="3" t="s">
        <v>698</v>
      </c>
      <c r="J223" s="3" t="s">
        <v>690</v>
      </c>
      <c r="K223" s="3" t="s">
        <v>941</v>
      </c>
      <c r="L223" s="4">
        <v>42961</v>
      </c>
    </row>
    <row r="224" spans="1:12" x14ac:dyDescent="0.6">
      <c r="A224" s="3" t="s">
        <v>234</v>
      </c>
      <c r="B224" s="3" t="s">
        <v>11</v>
      </c>
      <c r="C224" s="3" t="s">
        <v>397</v>
      </c>
      <c r="D224" s="3">
        <v>44.717429699999997</v>
      </c>
      <c r="E224" s="3">
        <v>-73.325850000000003</v>
      </c>
      <c r="F224" s="3" t="s">
        <v>939</v>
      </c>
      <c r="G224" s="3" t="s">
        <v>942</v>
      </c>
      <c r="H224" s="3" t="s">
        <v>400</v>
      </c>
      <c r="I224" s="3" t="s">
        <v>698</v>
      </c>
      <c r="J224" s="3" t="s">
        <v>690</v>
      </c>
      <c r="K224" s="3" t="s">
        <v>943</v>
      </c>
      <c r="L224" s="4">
        <v>42961</v>
      </c>
    </row>
    <row r="225" spans="1:12" x14ac:dyDescent="0.6">
      <c r="A225" s="3" t="s">
        <v>235</v>
      </c>
      <c r="B225" s="3" t="s">
        <v>11</v>
      </c>
      <c r="C225" s="3" t="s">
        <v>397</v>
      </c>
      <c r="D225" s="3">
        <v>38.463850000000001</v>
      </c>
      <c r="E225" s="3">
        <v>-90.80547</v>
      </c>
      <c r="F225" s="3" t="s">
        <v>944</v>
      </c>
      <c r="G225" s="3" t="s">
        <v>945</v>
      </c>
      <c r="H225" s="3" t="s">
        <v>400</v>
      </c>
      <c r="I225" s="3" t="s">
        <v>604</v>
      </c>
      <c r="J225" s="3" t="s">
        <v>946</v>
      </c>
      <c r="K225" s="3" t="s">
        <v>947</v>
      </c>
      <c r="L225" s="4">
        <v>42934</v>
      </c>
    </row>
    <row r="226" spans="1:12" x14ac:dyDescent="0.6">
      <c r="A226" s="3" t="s">
        <v>236</v>
      </c>
      <c r="B226" s="3" t="s">
        <v>11</v>
      </c>
      <c r="C226" s="3" t="s">
        <v>397</v>
      </c>
      <c r="D226" s="3">
        <v>38.461869999999998</v>
      </c>
      <c r="E226" s="3">
        <v>-90.814980000000006</v>
      </c>
      <c r="F226" s="3" t="s">
        <v>944</v>
      </c>
      <c r="G226" s="3" t="s">
        <v>948</v>
      </c>
      <c r="H226" s="3" t="s">
        <v>400</v>
      </c>
      <c r="I226" s="3" t="s">
        <v>604</v>
      </c>
      <c r="J226" s="3" t="s">
        <v>946</v>
      </c>
      <c r="K226" s="3" t="s">
        <v>949</v>
      </c>
      <c r="L226" s="4">
        <v>42934</v>
      </c>
    </row>
    <row r="227" spans="1:12" x14ac:dyDescent="0.6">
      <c r="A227" s="3" t="s">
        <v>237</v>
      </c>
      <c r="B227" s="3" t="s">
        <v>11</v>
      </c>
      <c r="C227" s="3" t="s">
        <v>397</v>
      </c>
      <c r="D227" s="3">
        <v>38.466079999999998</v>
      </c>
      <c r="E227" s="3">
        <v>-90.809399999999997</v>
      </c>
      <c r="F227" s="3" t="s">
        <v>944</v>
      </c>
      <c r="G227" s="3" t="s">
        <v>950</v>
      </c>
      <c r="H227" s="3" t="s">
        <v>400</v>
      </c>
      <c r="I227" s="3" t="s">
        <v>604</v>
      </c>
      <c r="J227" s="3" t="s">
        <v>946</v>
      </c>
      <c r="K227" s="3" t="s">
        <v>951</v>
      </c>
      <c r="L227" s="4">
        <v>42934</v>
      </c>
    </row>
    <row r="228" spans="1:12" x14ac:dyDescent="0.6">
      <c r="A228" s="3" t="s">
        <v>238</v>
      </c>
      <c r="B228" s="3" t="s">
        <v>54</v>
      </c>
      <c r="C228" s="3" t="s">
        <v>397</v>
      </c>
      <c r="D228" s="3">
        <v>38.513390000000001</v>
      </c>
      <c r="E228" s="3">
        <v>-90.575640000000007</v>
      </c>
      <c r="F228" s="3" t="s">
        <v>706</v>
      </c>
      <c r="G228" s="3" t="s">
        <v>952</v>
      </c>
      <c r="H228" s="3" t="s">
        <v>400</v>
      </c>
      <c r="I228" s="3" t="s">
        <v>604</v>
      </c>
      <c r="J228" s="3" t="s">
        <v>708</v>
      </c>
      <c r="K228" s="3" t="s">
        <v>953</v>
      </c>
      <c r="L228" s="4">
        <v>42935</v>
      </c>
    </row>
    <row r="229" spans="1:12" x14ac:dyDescent="0.6">
      <c r="A229" s="3" t="s">
        <v>239</v>
      </c>
      <c r="B229" s="3" t="s">
        <v>43</v>
      </c>
      <c r="C229" s="3" t="s">
        <v>397</v>
      </c>
      <c r="D229" s="3">
        <v>38.514560000000003</v>
      </c>
      <c r="E229" s="3">
        <v>-90.577240000000003</v>
      </c>
      <c r="F229" s="3" t="s">
        <v>706</v>
      </c>
      <c r="G229" s="3" t="s">
        <v>954</v>
      </c>
      <c r="H229" s="3" t="s">
        <v>400</v>
      </c>
      <c r="I229" s="3" t="s">
        <v>604</v>
      </c>
      <c r="J229" s="3" t="s">
        <v>708</v>
      </c>
      <c r="K229" s="3" t="s">
        <v>955</v>
      </c>
      <c r="L229" s="4">
        <v>42935</v>
      </c>
    </row>
    <row r="230" spans="1:12" x14ac:dyDescent="0.6">
      <c r="A230" s="3" t="s">
        <v>243</v>
      </c>
      <c r="B230" s="3" t="s">
        <v>11</v>
      </c>
      <c r="C230" s="3" t="s">
        <v>397</v>
      </c>
      <c r="D230" s="3">
        <v>38.226849999999999</v>
      </c>
      <c r="E230" s="3">
        <v>-91.082449999999994</v>
      </c>
      <c r="F230" s="3" t="s">
        <v>714</v>
      </c>
      <c r="G230" s="3" t="s">
        <v>956</v>
      </c>
      <c r="H230" s="3" t="s">
        <v>400</v>
      </c>
      <c r="I230" s="3" t="s">
        <v>604</v>
      </c>
      <c r="J230" s="3" t="s">
        <v>708</v>
      </c>
      <c r="K230" s="3" t="s">
        <v>957</v>
      </c>
      <c r="L230" s="4">
        <v>42936</v>
      </c>
    </row>
    <row r="231" spans="1:12" x14ac:dyDescent="0.6">
      <c r="A231" s="3" t="s">
        <v>244</v>
      </c>
      <c r="B231" s="3" t="s">
        <v>43</v>
      </c>
      <c r="C231" s="3" t="s">
        <v>397</v>
      </c>
      <c r="D231" s="3">
        <v>38.226649999999999</v>
      </c>
      <c r="E231" s="3">
        <v>-91.082849999999993</v>
      </c>
      <c r="F231" s="3" t="s">
        <v>714</v>
      </c>
      <c r="G231" s="3" t="s">
        <v>958</v>
      </c>
      <c r="H231" s="3" t="s">
        <v>400</v>
      </c>
      <c r="I231" s="3" t="s">
        <v>604</v>
      </c>
      <c r="J231" s="3" t="s">
        <v>708</v>
      </c>
      <c r="K231" s="3" t="s">
        <v>959</v>
      </c>
      <c r="L231" s="4">
        <v>42936</v>
      </c>
    </row>
    <row r="232" spans="1:12" x14ac:dyDescent="0.6">
      <c r="A232" s="3" t="s">
        <v>246</v>
      </c>
      <c r="B232" s="3" t="s">
        <v>11</v>
      </c>
      <c r="C232" s="3" t="s">
        <v>397</v>
      </c>
      <c r="D232" s="3">
        <v>38.224409999999999</v>
      </c>
      <c r="E232" s="3">
        <v>-91.081940000000003</v>
      </c>
      <c r="F232" s="3" t="s">
        <v>714</v>
      </c>
      <c r="G232" s="3" t="s">
        <v>960</v>
      </c>
      <c r="H232" s="3" t="s">
        <v>400</v>
      </c>
      <c r="I232" s="3" t="s">
        <v>604</v>
      </c>
      <c r="J232" s="3" t="s">
        <v>708</v>
      </c>
      <c r="K232" s="3" t="s">
        <v>961</v>
      </c>
      <c r="L232" s="4">
        <v>42936</v>
      </c>
    </row>
    <row r="233" spans="1:12" x14ac:dyDescent="0.6">
      <c r="A233" s="3" t="s">
        <v>249</v>
      </c>
      <c r="B233" s="3" t="s">
        <v>54</v>
      </c>
      <c r="C233" s="3" t="s">
        <v>397</v>
      </c>
      <c r="D233" s="3">
        <v>38.217129999999997</v>
      </c>
      <c r="E233" s="3">
        <v>-91.092079999999996</v>
      </c>
      <c r="F233" s="3" t="s">
        <v>714</v>
      </c>
      <c r="G233" s="3" t="s">
        <v>962</v>
      </c>
      <c r="H233" s="3" t="s">
        <v>400</v>
      </c>
      <c r="I233" s="3" t="s">
        <v>604</v>
      </c>
      <c r="J233" s="3" t="s">
        <v>708</v>
      </c>
      <c r="K233" s="3" t="s">
        <v>963</v>
      </c>
      <c r="L233" s="4">
        <v>42936</v>
      </c>
    </row>
    <row r="234" spans="1:12" x14ac:dyDescent="0.6">
      <c r="A234" s="3" t="s">
        <v>251</v>
      </c>
      <c r="B234" s="3" t="s">
        <v>54</v>
      </c>
      <c r="C234" s="3" t="s">
        <v>397</v>
      </c>
      <c r="D234" s="3">
        <v>38.217329999999997</v>
      </c>
      <c r="E234" s="3">
        <v>-91.093389999999999</v>
      </c>
      <c r="F234" s="3" t="s">
        <v>714</v>
      </c>
      <c r="G234" s="3" t="s">
        <v>964</v>
      </c>
      <c r="H234" s="3" t="s">
        <v>400</v>
      </c>
      <c r="I234" s="3" t="s">
        <v>604</v>
      </c>
      <c r="J234" s="3" t="s">
        <v>708</v>
      </c>
      <c r="K234" s="3" t="s">
        <v>965</v>
      </c>
      <c r="L234" s="4">
        <v>42936</v>
      </c>
    </row>
    <row r="235" spans="1:12" x14ac:dyDescent="0.6">
      <c r="A235" s="3" t="s">
        <v>252</v>
      </c>
      <c r="B235" s="3" t="s">
        <v>96</v>
      </c>
      <c r="C235" s="3" t="s">
        <v>397</v>
      </c>
      <c r="D235" s="3">
        <v>37.157580000000003</v>
      </c>
      <c r="E235" s="3">
        <v>-91.305130000000005</v>
      </c>
      <c r="F235" s="3" t="s">
        <v>723</v>
      </c>
      <c r="G235" s="3" t="s">
        <v>966</v>
      </c>
      <c r="H235" s="3" t="s">
        <v>400</v>
      </c>
      <c r="I235" s="3" t="s">
        <v>657</v>
      </c>
      <c r="J235" s="3" t="s">
        <v>725</v>
      </c>
      <c r="K235" s="3" t="s">
        <v>967</v>
      </c>
      <c r="L235" s="4">
        <v>42914</v>
      </c>
    </row>
    <row r="236" spans="1:12" x14ac:dyDescent="0.6">
      <c r="A236" s="3" t="s">
        <v>253</v>
      </c>
      <c r="B236" s="3" t="s">
        <v>43</v>
      </c>
      <c r="C236" s="3" t="s">
        <v>397</v>
      </c>
      <c r="D236" s="3">
        <v>38.978639999999999</v>
      </c>
      <c r="E236" s="3">
        <v>-94.807239999999993</v>
      </c>
      <c r="F236" s="3" t="s">
        <v>723</v>
      </c>
      <c r="G236" s="3" t="s">
        <v>968</v>
      </c>
      <c r="H236" s="3" t="s">
        <v>400</v>
      </c>
      <c r="I236" s="3" t="s">
        <v>657</v>
      </c>
      <c r="J236" s="3" t="s">
        <v>725</v>
      </c>
      <c r="K236" s="3" t="s">
        <v>969</v>
      </c>
      <c r="L236" s="4">
        <v>42914</v>
      </c>
    </row>
    <row r="237" spans="1:12" x14ac:dyDescent="0.6">
      <c r="A237" s="3" t="s">
        <v>254</v>
      </c>
      <c r="B237" s="3" t="s">
        <v>54</v>
      </c>
      <c r="C237" s="3" t="s">
        <v>397</v>
      </c>
      <c r="D237" s="3">
        <v>38.979179999999999</v>
      </c>
      <c r="E237" s="3">
        <v>-94.806920000000005</v>
      </c>
      <c r="F237" s="3" t="s">
        <v>723</v>
      </c>
      <c r="G237" s="3" t="s">
        <v>970</v>
      </c>
      <c r="H237" s="3" t="s">
        <v>400</v>
      </c>
      <c r="I237" s="3" t="s">
        <v>657</v>
      </c>
      <c r="J237" s="3" t="s">
        <v>725</v>
      </c>
      <c r="K237" s="3" t="s">
        <v>971</v>
      </c>
      <c r="L237" s="4">
        <v>42914</v>
      </c>
    </row>
    <row r="238" spans="1:12" x14ac:dyDescent="0.6">
      <c r="A238" s="3" t="s">
        <v>255</v>
      </c>
      <c r="B238" s="3" t="s">
        <v>43</v>
      </c>
      <c r="C238" s="3" t="s">
        <v>397</v>
      </c>
      <c r="D238" s="3">
        <v>38.979340000000001</v>
      </c>
      <c r="E238" s="3">
        <v>-94.805369999999996</v>
      </c>
      <c r="F238" s="3" t="s">
        <v>723</v>
      </c>
      <c r="G238" s="3" t="s">
        <v>972</v>
      </c>
      <c r="H238" s="3" t="s">
        <v>400</v>
      </c>
      <c r="I238" s="3" t="s">
        <v>657</v>
      </c>
      <c r="J238" s="3" t="s">
        <v>725</v>
      </c>
      <c r="K238" s="3" t="s">
        <v>973</v>
      </c>
      <c r="L238" s="4">
        <v>42914</v>
      </c>
    </row>
    <row r="239" spans="1:12" x14ac:dyDescent="0.6">
      <c r="A239" s="3" t="s">
        <v>260</v>
      </c>
      <c r="B239" s="3" t="s">
        <v>11</v>
      </c>
      <c r="C239" s="3" t="s">
        <v>397</v>
      </c>
      <c r="D239" s="3">
        <v>38.98048</v>
      </c>
      <c r="E239" s="3">
        <v>-94.805679999999995</v>
      </c>
      <c r="F239" s="3" t="s">
        <v>723</v>
      </c>
      <c r="G239" s="3" t="s">
        <v>974</v>
      </c>
      <c r="H239" s="3" t="s">
        <v>400</v>
      </c>
      <c r="I239" s="3" t="s">
        <v>657</v>
      </c>
      <c r="J239" s="3" t="s">
        <v>725</v>
      </c>
      <c r="K239" s="3" t="s">
        <v>975</v>
      </c>
      <c r="L239" s="4">
        <v>42914</v>
      </c>
    </row>
    <row r="240" spans="1:12" x14ac:dyDescent="0.6">
      <c r="A240" s="3" t="s">
        <v>261</v>
      </c>
      <c r="B240" s="3" t="s">
        <v>54</v>
      </c>
      <c r="C240" s="3" t="s">
        <v>397</v>
      </c>
      <c r="D240" s="3">
        <v>38.981299999999997</v>
      </c>
      <c r="E240" s="3">
        <v>-94.805719999999994</v>
      </c>
      <c r="F240" s="3" t="s">
        <v>723</v>
      </c>
      <c r="G240" s="3" t="s">
        <v>976</v>
      </c>
      <c r="H240" s="3" t="s">
        <v>400</v>
      </c>
      <c r="I240" s="3" t="s">
        <v>657</v>
      </c>
      <c r="J240" s="3" t="s">
        <v>725</v>
      </c>
      <c r="K240" s="3" t="s">
        <v>977</v>
      </c>
      <c r="L240" s="4">
        <v>42914</v>
      </c>
    </row>
    <row r="241" spans="1:12" x14ac:dyDescent="0.6">
      <c r="A241" s="3" t="s">
        <v>262</v>
      </c>
      <c r="B241" s="3" t="s">
        <v>11</v>
      </c>
      <c r="C241" s="3" t="s">
        <v>397</v>
      </c>
      <c r="D241" s="3">
        <v>38.981409999999997</v>
      </c>
      <c r="E241" s="3">
        <v>-94.810360000000003</v>
      </c>
      <c r="F241" s="3" t="s">
        <v>723</v>
      </c>
      <c r="G241" s="3" t="s">
        <v>978</v>
      </c>
      <c r="H241" s="3" t="s">
        <v>400</v>
      </c>
      <c r="I241" s="3" t="s">
        <v>657</v>
      </c>
      <c r="J241" s="3" t="s">
        <v>725</v>
      </c>
      <c r="K241" s="3" t="s">
        <v>979</v>
      </c>
      <c r="L241" s="4">
        <v>42914</v>
      </c>
    </row>
    <row r="242" spans="1:12" x14ac:dyDescent="0.6">
      <c r="A242" s="3" t="s">
        <v>263</v>
      </c>
      <c r="B242" s="3" t="s">
        <v>96</v>
      </c>
      <c r="C242" s="3" t="s">
        <v>397</v>
      </c>
      <c r="D242" s="3">
        <v>38.809539999999998</v>
      </c>
      <c r="E242" s="3">
        <v>-95.18853</v>
      </c>
      <c r="F242" s="3" t="s">
        <v>733</v>
      </c>
      <c r="G242" s="3" t="s">
        <v>980</v>
      </c>
      <c r="H242" s="3" t="s">
        <v>400</v>
      </c>
      <c r="I242" s="3" t="s">
        <v>657</v>
      </c>
      <c r="J242" s="3" t="s">
        <v>725</v>
      </c>
      <c r="K242" s="3" t="s">
        <v>981</v>
      </c>
      <c r="L242" s="4">
        <v>42914</v>
      </c>
    </row>
    <row r="243" spans="1:12" x14ac:dyDescent="0.6">
      <c r="A243" s="3" t="s">
        <v>264</v>
      </c>
      <c r="B243" s="3" t="s">
        <v>11</v>
      </c>
      <c r="C243" s="3" t="s">
        <v>397</v>
      </c>
      <c r="D243" s="3">
        <v>38.809510000000003</v>
      </c>
      <c r="E243" s="3">
        <v>-95.188550000000006</v>
      </c>
      <c r="F243" s="3" t="s">
        <v>733</v>
      </c>
      <c r="G243" s="3" t="s">
        <v>982</v>
      </c>
      <c r="H243" s="3" t="s">
        <v>400</v>
      </c>
      <c r="I243" s="3" t="s">
        <v>657</v>
      </c>
      <c r="J243" s="3" t="s">
        <v>725</v>
      </c>
      <c r="K243" s="3" t="s">
        <v>983</v>
      </c>
      <c r="L243" s="4">
        <v>42914</v>
      </c>
    </row>
    <row r="244" spans="1:12" x14ac:dyDescent="0.6">
      <c r="A244" s="3" t="s">
        <v>265</v>
      </c>
      <c r="B244" s="3" t="s">
        <v>54</v>
      </c>
      <c r="C244" s="3" t="s">
        <v>397</v>
      </c>
      <c r="D244" s="3">
        <v>38.809579999999997</v>
      </c>
      <c r="E244" s="3">
        <v>-95.189160000000001</v>
      </c>
      <c r="F244" s="3" t="s">
        <v>733</v>
      </c>
      <c r="G244" s="3" t="s">
        <v>984</v>
      </c>
      <c r="H244" s="3" t="s">
        <v>400</v>
      </c>
      <c r="I244" s="3" t="s">
        <v>657</v>
      </c>
      <c r="J244" s="3" t="s">
        <v>725</v>
      </c>
      <c r="K244" s="3" t="s">
        <v>985</v>
      </c>
      <c r="L244" s="4">
        <v>42914</v>
      </c>
    </row>
    <row r="245" spans="1:12" x14ac:dyDescent="0.6">
      <c r="A245" s="3" t="s">
        <v>266</v>
      </c>
      <c r="B245" s="3" t="s">
        <v>54</v>
      </c>
      <c r="C245" s="3" t="s">
        <v>397</v>
      </c>
      <c r="D245" s="3">
        <v>38.808900000000001</v>
      </c>
      <c r="E245" s="3">
        <v>-95.190190000000001</v>
      </c>
      <c r="F245" s="3" t="s">
        <v>733</v>
      </c>
      <c r="G245" s="3" t="s">
        <v>986</v>
      </c>
      <c r="H245" s="3" t="s">
        <v>400</v>
      </c>
      <c r="I245" s="3" t="s">
        <v>657</v>
      </c>
      <c r="J245" s="3" t="s">
        <v>725</v>
      </c>
      <c r="K245" s="3" t="s">
        <v>987</v>
      </c>
      <c r="L245" s="4">
        <v>42914</v>
      </c>
    </row>
    <row r="246" spans="1:12" x14ac:dyDescent="0.6">
      <c r="A246" s="3" t="s">
        <v>268</v>
      </c>
      <c r="B246" s="3" t="s">
        <v>96</v>
      </c>
      <c r="C246" s="3" t="s">
        <v>397</v>
      </c>
      <c r="D246" s="3">
        <v>38.808320000000002</v>
      </c>
      <c r="E246" s="3">
        <v>-95.194580000000002</v>
      </c>
      <c r="F246" s="3" t="s">
        <v>733</v>
      </c>
      <c r="G246" s="3" t="s">
        <v>988</v>
      </c>
      <c r="H246" s="3" t="s">
        <v>400</v>
      </c>
      <c r="I246" s="3" t="s">
        <v>657</v>
      </c>
      <c r="J246" s="3" t="s">
        <v>725</v>
      </c>
      <c r="K246" s="3" t="s">
        <v>989</v>
      </c>
      <c r="L246" s="4">
        <v>42914</v>
      </c>
    </row>
    <row r="247" spans="1:12" x14ac:dyDescent="0.6">
      <c r="A247" s="3" t="s">
        <v>269</v>
      </c>
      <c r="B247" s="3" t="s">
        <v>11</v>
      </c>
      <c r="C247" s="3" t="s">
        <v>397</v>
      </c>
      <c r="D247" s="3">
        <v>38.808030000000002</v>
      </c>
      <c r="E247" s="3">
        <v>-95.195080000000004</v>
      </c>
      <c r="F247" s="3" t="s">
        <v>733</v>
      </c>
      <c r="G247" s="3" t="s">
        <v>990</v>
      </c>
      <c r="H247" s="3" t="s">
        <v>400</v>
      </c>
      <c r="I247" s="3" t="s">
        <v>657</v>
      </c>
      <c r="J247" s="3" t="s">
        <v>725</v>
      </c>
      <c r="K247" s="3" t="s">
        <v>991</v>
      </c>
      <c r="L247" s="4">
        <v>42914</v>
      </c>
    </row>
    <row r="248" spans="1:12" x14ac:dyDescent="0.6">
      <c r="A248" s="3" t="s">
        <v>270</v>
      </c>
      <c r="B248" s="3" t="s">
        <v>11</v>
      </c>
      <c r="C248" s="3" t="s">
        <v>397</v>
      </c>
      <c r="D248" s="3">
        <v>39.106909999999999</v>
      </c>
      <c r="E248" s="3">
        <v>-96.606160000000003</v>
      </c>
      <c r="F248" s="3" t="s">
        <v>736</v>
      </c>
      <c r="G248" s="3" t="s">
        <v>992</v>
      </c>
      <c r="H248" s="3" t="s">
        <v>400</v>
      </c>
      <c r="I248" s="3" t="s">
        <v>657</v>
      </c>
      <c r="J248" s="3" t="s">
        <v>596</v>
      </c>
      <c r="K248" s="3" t="s">
        <v>993</v>
      </c>
      <c r="L248" s="4">
        <v>42915</v>
      </c>
    </row>
    <row r="249" spans="1:12" x14ac:dyDescent="0.6">
      <c r="A249" s="3" t="s">
        <v>274</v>
      </c>
      <c r="B249" s="3" t="s">
        <v>96</v>
      </c>
      <c r="C249" s="3" t="s">
        <v>397</v>
      </c>
      <c r="D249" s="3">
        <v>39.107610000000001</v>
      </c>
      <c r="E249" s="3">
        <v>-96.607399999999998</v>
      </c>
      <c r="F249" s="3" t="s">
        <v>736</v>
      </c>
      <c r="G249" s="3" t="s">
        <v>994</v>
      </c>
      <c r="H249" s="3" t="s">
        <v>400</v>
      </c>
      <c r="I249" s="3" t="s">
        <v>657</v>
      </c>
      <c r="J249" s="3" t="s">
        <v>596</v>
      </c>
      <c r="K249" s="3" t="s">
        <v>995</v>
      </c>
      <c r="L249" s="4">
        <v>42915</v>
      </c>
    </row>
    <row r="250" spans="1:12" x14ac:dyDescent="0.6">
      <c r="A250" s="3" t="s">
        <v>275</v>
      </c>
      <c r="B250" s="3" t="s">
        <v>54</v>
      </c>
      <c r="C250" s="3" t="s">
        <v>397</v>
      </c>
      <c r="D250" s="3">
        <v>41.863079999999997</v>
      </c>
      <c r="E250" s="3">
        <v>-85.745509999999996</v>
      </c>
      <c r="F250" s="3" t="s">
        <v>996</v>
      </c>
      <c r="G250" s="3" t="s">
        <v>997</v>
      </c>
      <c r="H250" s="3" t="s">
        <v>400</v>
      </c>
      <c r="I250" s="3" t="s">
        <v>745</v>
      </c>
      <c r="J250" s="3" t="s">
        <v>685</v>
      </c>
      <c r="K250" s="3" t="s">
        <v>998</v>
      </c>
      <c r="L250" s="4">
        <v>42962</v>
      </c>
    </row>
    <row r="251" spans="1:12" x14ac:dyDescent="0.6">
      <c r="A251" s="3" t="s">
        <v>276</v>
      </c>
      <c r="B251" s="3" t="s">
        <v>54</v>
      </c>
      <c r="C251" s="3" t="s">
        <v>397</v>
      </c>
      <c r="D251" s="3">
        <v>41.74568</v>
      </c>
      <c r="E251" s="3">
        <v>-85.745679999999993</v>
      </c>
      <c r="F251" s="3" t="s">
        <v>996</v>
      </c>
      <c r="G251" s="3" t="s">
        <v>999</v>
      </c>
      <c r="H251" s="3" t="s">
        <v>400</v>
      </c>
      <c r="I251" s="3" t="s">
        <v>745</v>
      </c>
      <c r="J251" s="3" t="s">
        <v>685</v>
      </c>
      <c r="K251" s="3" t="s">
        <v>1000</v>
      </c>
      <c r="L251" s="4">
        <v>42962</v>
      </c>
    </row>
    <row r="252" spans="1:12" x14ac:dyDescent="0.6">
      <c r="A252" s="3" t="s">
        <v>277</v>
      </c>
      <c r="B252" s="3" t="s">
        <v>54</v>
      </c>
      <c r="C252" s="3" t="s">
        <v>397</v>
      </c>
      <c r="D252" s="3">
        <v>41.861750000000001</v>
      </c>
      <c r="E252" s="3">
        <v>-85.745760000000004</v>
      </c>
      <c r="F252" s="3" t="s">
        <v>996</v>
      </c>
      <c r="G252" s="3" t="s">
        <v>1001</v>
      </c>
      <c r="H252" s="3" t="s">
        <v>400</v>
      </c>
      <c r="I252" s="3" t="s">
        <v>745</v>
      </c>
      <c r="J252" s="3" t="s">
        <v>685</v>
      </c>
      <c r="K252" s="3" t="s">
        <v>1002</v>
      </c>
      <c r="L252" s="4">
        <v>42962</v>
      </c>
    </row>
    <row r="253" spans="1:12" x14ac:dyDescent="0.6">
      <c r="A253" s="3" t="s">
        <v>278</v>
      </c>
      <c r="B253" s="3" t="s">
        <v>54</v>
      </c>
      <c r="C253" s="3" t="s">
        <v>397</v>
      </c>
      <c r="D253" s="3">
        <v>41.863979999999998</v>
      </c>
      <c r="E253" s="3">
        <v>-85.745729999999995</v>
      </c>
      <c r="F253" s="3" t="s">
        <v>996</v>
      </c>
      <c r="G253" s="3" t="s">
        <v>1003</v>
      </c>
      <c r="H253" s="3" t="s">
        <v>400</v>
      </c>
      <c r="I253" s="3" t="s">
        <v>745</v>
      </c>
      <c r="J253" s="3" t="s">
        <v>685</v>
      </c>
      <c r="K253" s="3" t="s">
        <v>1004</v>
      </c>
      <c r="L253" s="4">
        <v>42962</v>
      </c>
    </row>
    <row r="254" spans="1:12" x14ac:dyDescent="0.6">
      <c r="A254" s="3" t="s">
        <v>279</v>
      </c>
      <c r="B254" s="3" t="s">
        <v>54</v>
      </c>
      <c r="C254" s="3" t="s">
        <v>397</v>
      </c>
      <c r="D254" s="3">
        <v>41.869929999999997</v>
      </c>
      <c r="E254" s="3">
        <v>-85.745679999999993</v>
      </c>
      <c r="F254" s="3" t="s">
        <v>996</v>
      </c>
      <c r="G254" s="3" t="s">
        <v>1005</v>
      </c>
      <c r="H254" s="3" t="s">
        <v>400</v>
      </c>
      <c r="I254" s="3" t="s">
        <v>745</v>
      </c>
      <c r="J254" s="3" t="s">
        <v>685</v>
      </c>
      <c r="K254" s="3" t="s">
        <v>1006</v>
      </c>
      <c r="L254" s="4">
        <v>42962</v>
      </c>
    </row>
    <row r="255" spans="1:12" x14ac:dyDescent="0.6">
      <c r="A255" s="3" t="s">
        <v>281</v>
      </c>
      <c r="B255" s="3" t="s">
        <v>11</v>
      </c>
      <c r="C255" s="3" t="s">
        <v>397</v>
      </c>
      <c r="D255" s="3">
        <v>43.848219999999998</v>
      </c>
      <c r="E255" s="3">
        <v>-83.923850000000002</v>
      </c>
      <c r="F255" s="3" t="s">
        <v>743</v>
      </c>
      <c r="G255" s="3" t="s">
        <v>1007</v>
      </c>
      <c r="H255" s="3" t="s">
        <v>400</v>
      </c>
      <c r="I255" s="3" t="s">
        <v>745</v>
      </c>
      <c r="J255" s="3" t="s">
        <v>685</v>
      </c>
      <c r="K255" s="3" t="s">
        <v>1008</v>
      </c>
      <c r="L255" s="4">
        <v>42963</v>
      </c>
    </row>
    <row r="256" spans="1:12" x14ac:dyDescent="0.6">
      <c r="A256" s="3" t="s">
        <v>282</v>
      </c>
      <c r="B256" s="3" t="s">
        <v>11</v>
      </c>
      <c r="C256" s="3" t="s">
        <v>397</v>
      </c>
      <c r="D256" s="3">
        <v>43.857140000000001</v>
      </c>
      <c r="E256" s="3">
        <v>-83.925240000000002</v>
      </c>
      <c r="F256" s="3" t="s">
        <v>743</v>
      </c>
      <c r="G256" s="3" t="s">
        <v>1009</v>
      </c>
      <c r="H256" s="3" t="s">
        <v>400</v>
      </c>
      <c r="I256" s="3" t="s">
        <v>745</v>
      </c>
      <c r="J256" s="3" t="s">
        <v>685</v>
      </c>
      <c r="K256" s="3" t="s">
        <v>1010</v>
      </c>
      <c r="L256" s="4">
        <v>42963</v>
      </c>
    </row>
    <row r="257" spans="1:12" x14ac:dyDescent="0.6">
      <c r="A257" s="3" t="s">
        <v>285</v>
      </c>
      <c r="B257" s="3" t="s">
        <v>11</v>
      </c>
      <c r="C257" s="3" t="s">
        <v>397</v>
      </c>
      <c r="D257" s="3">
        <v>42.304040000000001</v>
      </c>
      <c r="E257" s="3">
        <v>-83.749660000000006</v>
      </c>
      <c r="F257" s="3" t="s">
        <v>747</v>
      </c>
      <c r="G257" s="3" t="s">
        <v>1011</v>
      </c>
      <c r="H257" s="3" t="s">
        <v>400</v>
      </c>
      <c r="I257" s="3" t="s">
        <v>745</v>
      </c>
      <c r="J257" s="3" t="s">
        <v>685</v>
      </c>
      <c r="K257" s="3" t="s">
        <v>1012</v>
      </c>
      <c r="L257" s="4">
        <v>42963</v>
      </c>
    </row>
    <row r="258" spans="1:12" x14ac:dyDescent="0.6">
      <c r="A258" s="3" t="s">
        <v>286</v>
      </c>
      <c r="B258" s="3" t="s">
        <v>54</v>
      </c>
      <c r="C258" s="3" t="s">
        <v>397</v>
      </c>
      <c r="D258" s="3">
        <v>42.302039999999998</v>
      </c>
      <c r="E258" s="3">
        <v>-83.750240000000005</v>
      </c>
      <c r="F258" s="3" t="s">
        <v>747</v>
      </c>
      <c r="G258" s="3" t="s">
        <v>1013</v>
      </c>
      <c r="H258" s="3" t="s">
        <v>400</v>
      </c>
      <c r="I258" s="3" t="s">
        <v>745</v>
      </c>
      <c r="J258" s="3" t="s">
        <v>685</v>
      </c>
      <c r="K258" s="3" t="s">
        <v>1014</v>
      </c>
      <c r="L258" s="4">
        <v>42963</v>
      </c>
    </row>
    <row r="259" spans="1:12" x14ac:dyDescent="0.6">
      <c r="A259" s="3" t="s">
        <v>287</v>
      </c>
      <c r="B259" s="3" t="s">
        <v>11</v>
      </c>
      <c r="C259" s="3" t="s">
        <v>397</v>
      </c>
      <c r="D259" s="3">
        <v>42.30153</v>
      </c>
      <c r="E259" s="3">
        <v>-83.751080000000002</v>
      </c>
      <c r="F259" s="3" t="s">
        <v>747</v>
      </c>
      <c r="G259" s="3" t="s">
        <v>1015</v>
      </c>
      <c r="H259" s="3" t="s">
        <v>400</v>
      </c>
      <c r="I259" s="3" t="s">
        <v>745</v>
      </c>
      <c r="J259" s="3" t="s">
        <v>685</v>
      </c>
      <c r="K259" s="3" t="s">
        <v>1016</v>
      </c>
      <c r="L259" s="4">
        <v>42963</v>
      </c>
    </row>
    <row r="260" spans="1:12" x14ac:dyDescent="0.6">
      <c r="A260" s="3" t="s">
        <v>288</v>
      </c>
      <c r="B260" s="3" t="s">
        <v>54</v>
      </c>
      <c r="C260" s="3" t="s">
        <v>397</v>
      </c>
      <c r="D260" s="3">
        <v>42.308810000000001</v>
      </c>
      <c r="E260" s="3">
        <v>-83.757180000000005</v>
      </c>
      <c r="F260" s="3" t="s">
        <v>747</v>
      </c>
      <c r="G260" s="3" t="s">
        <v>1017</v>
      </c>
      <c r="H260" s="3" t="s">
        <v>400</v>
      </c>
      <c r="I260" s="3" t="s">
        <v>745</v>
      </c>
      <c r="J260" s="3" t="s">
        <v>685</v>
      </c>
      <c r="K260" s="3" t="s">
        <v>1018</v>
      </c>
      <c r="L260" s="4">
        <v>42963</v>
      </c>
    </row>
    <row r="261" spans="1:12" x14ac:dyDescent="0.6">
      <c r="A261" s="3" t="s">
        <v>289</v>
      </c>
      <c r="B261" s="3" t="s">
        <v>54</v>
      </c>
      <c r="C261" s="3" t="s">
        <v>397</v>
      </c>
      <c r="D261" s="3">
        <v>42.767740000000003</v>
      </c>
      <c r="E261" s="3">
        <v>-84.391239999999996</v>
      </c>
      <c r="F261" s="3" t="s">
        <v>752</v>
      </c>
      <c r="G261" s="3" t="s">
        <v>1019</v>
      </c>
      <c r="H261" s="3" t="s">
        <v>400</v>
      </c>
      <c r="I261" s="3" t="s">
        <v>745</v>
      </c>
      <c r="J261" s="3" t="s">
        <v>685</v>
      </c>
      <c r="K261" s="3" t="s">
        <v>1020</v>
      </c>
      <c r="L261" s="4">
        <v>42964</v>
      </c>
    </row>
    <row r="262" spans="1:12" x14ac:dyDescent="0.6">
      <c r="A262" s="3" t="s">
        <v>290</v>
      </c>
      <c r="B262" s="3" t="s">
        <v>29</v>
      </c>
      <c r="C262" s="3" t="s">
        <v>397</v>
      </c>
      <c r="D262" s="3">
        <v>42.767429999999997</v>
      </c>
      <c r="E262" s="3">
        <v>-84.390799999999999</v>
      </c>
      <c r="F262" s="3" t="s">
        <v>752</v>
      </c>
      <c r="G262" s="3" t="s">
        <v>1021</v>
      </c>
      <c r="H262" s="3" t="s">
        <v>400</v>
      </c>
      <c r="I262" s="3" t="s">
        <v>745</v>
      </c>
      <c r="J262" s="3" t="s">
        <v>685</v>
      </c>
      <c r="K262" s="3" t="s">
        <v>1022</v>
      </c>
      <c r="L262" s="4">
        <v>42964</v>
      </c>
    </row>
    <row r="263" spans="1:12" x14ac:dyDescent="0.6">
      <c r="A263" s="3" t="s">
        <v>291</v>
      </c>
      <c r="B263" s="3" t="s">
        <v>54</v>
      </c>
      <c r="C263" s="3" t="s">
        <v>397</v>
      </c>
      <c r="D263" s="3">
        <v>42.768070000000002</v>
      </c>
      <c r="E263" s="3">
        <v>-84.390439999999998</v>
      </c>
      <c r="F263" s="3" t="s">
        <v>752</v>
      </c>
      <c r="G263" s="3" t="s">
        <v>1023</v>
      </c>
      <c r="H263" s="3" t="s">
        <v>400</v>
      </c>
      <c r="I263" s="3" t="s">
        <v>745</v>
      </c>
      <c r="J263" s="3" t="s">
        <v>685</v>
      </c>
      <c r="K263" s="3" t="s">
        <v>1024</v>
      </c>
      <c r="L263" s="4">
        <v>42964</v>
      </c>
    </row>
    <row r="264" spans="1:12" x14ac:dyDescent="0.6">
      <c r="A264" s="3" t="s">
        <v>294</v>
      </c>
      <c r="B264" s="3" t="s">
        <v>54</v>
      </c>
      <c r="C264" s="3" t="s">
        <v>397</v>
      </c>
      <c r="D264" s="3">
        <v>42.765120000000003</v>
      </c>
      <c r="E264" s="3">
        <v>-84.382360000000006</v>
      </c>
      <c r="F264" s="3" t="s">
        <v>752</v>
      </c>
      <c r="G264" s="3" t="s">
        <v>1025</v>
      </c>
      <c r="H264" s="3" t="s">
        <v>400</v>
      </c>
      <c r="I264" s="3" t="s">
        <v>745</v>
      </c>
      <c r="J264" s="3" t="s">
        <v>685</v>
      </c>
      <c r="K264" s="3" t="s">
        <v>1026</v>
      </c>
      <c r="L264" s="4">
        <v>42964</v>
      </c>
    </row>
    <row r="265" spans="1:12" x14ac:dyDescent="0.6">
      <c r="A265" s="3" t="s">
        <v>303</v>
      </c>
      <c r="B265" s="3" t="s">
        <v>11</v>
      </c>
      <c r="C265" s="3" t="s">
        <v>397</v>
      </c>
      <c r="D265" s="3">
        <v>43.02037</v>
      </c>
      <c r="E265" s="3">
        <v>-90.116540000000001</v>
      </c>
      <c r="F265" s="3" t="s">
        <v>757</v>
      </c>
      <c r="G265" s="3" t="s">
        <v>1027</v>
      </c>
      <c r="H265" s="3" t="s">
        <v>400</v>
      </c>
      <c r="I265" s="3" t="s">
        <v>487</v>
      </c>
      <c r="J265" s="3" t="s">
        <v>759</v>
      </c>
      <c r="K265" s="3" t="s">
        <v>1028</v>
      </c>
      <c r="L265" s="4">
        <v>42969</v>
      </c>
    </row>
    <row r="266" spans="1:12" x14ac:dyDescent="0.6">
      <c r="A266" s="3" t="s">
        <v>304</v>
      </c>
      <c r="B266" s="3" t="s">
        <v>54</v>
      </c>
      <c r="C266" s="3" t="s">
        <v>397</v>
      </c>
      <c r="D266" s="3">
        <v>43.015630000000002</v>
      </c>
      <c r="E266" s="3">
        <v>-90.113569999999996</v>
      </c>
      <c r="F266" s="3" t="s">
        <v>757</v>
      </c>
      <c r="G266" s="3" t="s">
        <v>1029</v>
      </c>
      <c r="H266" s="3" t="s">
        <v>400</v>
      </c>
      <c r="I266" s="3" t="s">
        <v>487</v>
      </c>
      <c r="J266" s="3" t="s">
        <v>759</v>
      </c>
      <c r="K266" s="3" t="s">
        <v>1030</v>
      </c>
      <c r="L266" s="4">
        <v>42969</v>
      </c>
    </row>
    <row r="267" spans="1:12" x14ac:dyDescent="0.6">
      <c r="A267" s="3" t="s">
        <v>305</v>
      </c>
      <c r="B267" s="3" t="s">
        <v>11</v>
      </c>
      <c r="C267" s="3" t="s">
        <v>397</v>
      </c>
      <c r="D267" s="3">
        <v>43.015459999999997</v>
      </c>
      <c r="E267" s="3">
        <v>-88.442509999999999</v>
      </c>
      <c r="F267" s="3" t="s">
        <v>761</v>
      </c>
      <c r="G267" s="3" t="s">
        <v>1031</v>
      </c>
      <c r="H267" s="3" t="s">
        <v>400</v>
      </c>
      <c r="I267" s="3" t="s">
        <v>487</v>
      </c>
      <c r="J267" s="3" t="s">
        <v>763</v>
      </c>
      <c r="K267" s="3" t="s">
        <v>1032</v>
      </c>
      <c r="L267" s="4">
        <v>42970</v>
      </c>
    </row>
    <row r="268" spans="1:12" x14ac:dyDescent="0.6">
      <c r="A268" s="3" t="s">
        <v>306</v>
      </c>
      <c r="B268" s="3" t="s">
        <v>54</v>
      </c>
      <c r="C268" s="3" t="s">
        <v>397</v>
      </c>
      <c r="D268" s="3">
        <v>43.015740000000001</v>
      </c>
      <c r="E268" s="3">
        <v>-88.442549999999997</v>
      </c>
      <c r="F268" s="3" t="s">
        <v>761</v>
      </c>
      <c r="G268" s="3" t="s">
        <v>1033</v>
      </c>
      <c r="H268" s="3" t="s">
        <v>400</v>
      </c>
      <c r="I268" s="3" t="s">
        <v>487</v>
      </c>
      <c r="J268" s="3" t="s">
        <v>763</v>
      </c>
      <c r="K268" s="3" t="s">
        <v>1034</v>
      </c>
      <c r="L268" s="4">
        <v>42970</v>
      </c>
    </row>
    <row r="269" spans="1:12" x14ac:dyDescent="0.6">
      <c r="A269" s="3" t="s">
        <v>307</v>
      </c>
      <c r="B269" s="3" t="s">
        <v>54</v>
      </c>
      <c r="C269" s="3" t="s">
        <v>397</v>
      </c>
      <c r="D269" s="3">
        <v>43.017919999999997</v>
      </c>
      <c r="E269" s="3">
        <v>-88.437780000000004</v>
      </c>
      <c r="F269" s="3" t="s">
        <v>761</v>
      </c>
      <c r="G269" s="3" t="s">
        <v>1035</v>
      </c>
      <c r="H269" s="3" t="s">
        <v>400</v>
      </c>
      <c r="I269" s="3" t="s">
        <v>487</v>
      </c>
      <c r="J269" s="3" t="s">
        <v>763</v>
      </c>
      <c r="K269" s="3" t="s">
        <v>1036</v>
      </c>
      <c r="L269" s="4">
        <v>42970</v>
      </c>
    </row>
    <row r="270" spans="1:12" x14ac:dyDescent="0.6">
      <c r="A270" s="3" t="s">
        <v>308</v>
      </c>
      <c r="B270" s="3" t="s">
        <v>11</v>
      </c>
      <c r="C270" s="3" t="s">
        <v>397</v>
      </c>
      <c r="D270" s="3">
        <v>43.018380000000001</v>
      </c>
      <c r="E270" s="3">
        <v>-88.43741</v>
      </c>
      <c r="F270" s="3" t="s">
        <v>761</v>
      </c>
      <c r="G270" s="3" t="s">
        <v>1037</v>
      </c>
      <c r="H270" s="3" t="s">
        <v>400</v>
      </c>
      <c r="I270" s="3" t="s">
        <v>487</v>
      </c>
      <c r="J270" s="3" t="s">
        <v>763</v>
      </c>
      <c r="K270" s="3" t="s">
        <v>1038</v>
      </c>
      <c r="L270" s="4">
        <v>42970</v>
      </c>
    </row>
    <row r="271" spans="1:12" x14ac:dyDescent="0.6">
      <c r="A271" s="3" t="s">
        <v>311</v>
      </c>
      <c r="B271" s="3" t="s">
        <v>11</v>
      </c>
      <c r="C271" s="3" t="s">
        <v>397</v>
      </c>
      <c r="D271" s="3">
        <v>43.039520000000003</v>
      </c>
      <c r="E271" s="3">
        <v>-89.431939999999997</v>
      </c>
      <c r="F271" s="3" t="s">
        <v>1039</v>
      </c>
      <c r="G271" s="3" t="s">
        <v>1040</v>
      </c>
      <c r="H271" s="3" t="s">
        <v>400</v>
      </c>
      <c r="I271" s="3" t="s">
        <v>487</v>
      </c>
      <c r="J271" s="3" t="s">
        <v>1041</v>
      </c>
      <c r="K271" s="3" t="s">
        <v>1042</v>
      </c>
      <c r="L271" s="4">
        <v>42971</v>
      </c>
    </row>
    <row r="272" spans="1:12" x14ac:dyDescent="0.6">
      <c r="A272" s="3" t="s">
        <v>312</v>
      </c>
      <c r="B272" s="3" t="s">
        <v>54</v>
      </c>
      <c r="C272" s="3" t="s">
        <v>397</v>
      </c>
      <c r="D272" s="3">
        <v>43.039180000000002</v>
      </c>
      <c r="E272" s="3">
        <v>-89.439189999999996</v>
      </c>
      <c r="F272" s="3" t="s">
        <v>1039</v>
      </c>
      <c r="G272" s="3" t="s">
        <v>1043</v>
      </c>
      <c r="H272" s="3" t="s">
        <v>400</v>
      </c>
      <c r="I272" s="3" t="s">
        <v>487</v>
      </c>
      <c r="J272" s="3" t="s">
        <v>1041</v>
      </c>
      <c r="K272" s="3" t="s">
        <v>1044</v>
      </c>
      <c r="L272" s="4">
        <v>42971</v>
      </c>
    </row>
    <row r="273" spans="1:12" x14ac:dyDescent="0.6">
      <c r="A273" s="3" t="s">
        <v>313</v>
      </c>
      <c r="B273" s="3" t="s">
        <v>11</v>
      </c>
      <c r="C273" s="3" t="s">
        <v>397</v>
      </c>
      <c r="D273" s="3">
        <v>43.039389999999997</v>
      </c>
      <c r="E273" s="3">
        <v>-89.439539999999994</v>
      </c>
      <c r="F273" s="3" t="s">
        <v>1039</v>
      </c>
      <c r="G273" s="3" t="s">
        <v>1045</v>
      </c>
      <c r="H273" s="3" t="s">
        <v>400</v>
      </c>
      <c r="I273" s="3" t="s">
        <v>487</v>
      </c>
      <c r="J273" s="3" t="s">
        <v>1041</v>
      </c>
      <c r="K273" s="3" t="s">
        <v>1046</v>
      </c>
      <c r="L273" s="4">
        <v>42971</v>
      </c>
    </row>
    <row r="274" spans="1:12" x14ac:dyDescent="0.6">
      <c r="A274" s="3" t="s">
        <v>314</v>
      </c>
      <c r="B274" s="3" t="s">
        <v>54</v>
      </c>
      <c r="C274" s="3" t="s">
        <v>397</v>
      </c>
      <c r="D274" s="3">
        <v>43.039709999999999</v>
      </c>
      <c r="E274" s="3">
        <v>-89.442419999999998</v>
      </c>
      <c r="F274" s="3" t="s">
        <v>1039</v>
      </c>
      <c r="G274" s="3" t="s">
        <v>1047</v>
      </c>
      <c r="H274" s="3" t="s">
        <v>400</v>
      </c>
      <c r="I274" s="3" t="s">
        <v>487</v>
      </c>
      <c r="J274" s="3" t="s">
        <v>1041</v>
      </c>
      <c r="K274" s="3" t="s">
        <v>1048</v>
      </c>
      <c r="L274" s="4">
        <v>42971</v>
      </c>
    </row>
    <row r="275" spans="1:12" x14ac:dyDescent="0.6">
      <c r="A275" s="3" t="s">
        <v>315</v>
      </c>
      <c r="B275" s="3" t="s">
        <v>11</v>
      </c>
      <c r="C275" s="3" t="s">
        <v>397</v>
      </c>
      <c r="D275" s="3">
        <v>43.039659999999998</v>
      </c>
      <c r="E275" s="3">
        <v>-89.44229</v>
      </c>
      <c r="F275" s="3" t="s">
        <v>1039</v>
      </c>
      <c r="G275" s="3" t="s">
        <v>1049</v>
      </c>
      <c r="H275" s="3" t="s">
        <v>400</v>
      </c>
      <c r="I275" s="3" t="s">
        <v>487</v>
      </c>
      <c r="J275" s="3" t="s">
        <v>1041</v>
      </c>
      <c r="K275" s="3" t="s">
        <v>1050</v>
      </c>
      <c r="L275" s="4">
        <v>42971</v>
      </c>
    </row>
    <row r="276" spans="1:12" x14ac:dyDescent="0.6">
      <c r="A276" s="3" t="s">
        <v>316</v>
      </c>
      <c r="B276" s="3" t="s">
        <v>54</v>
      </c>
      <c r="C276" s="3" t="s">
        <v>397</v>
      </c>
      <c r="D276" s="3">
        <v>43.037129999999998</v>
      </c>
      <c r="E276" s="3">
        <v>-89.441029999999998</v>
      </c>
      <c r="F276" s="3" t="s">
        <v>1039</v>
      </c>
      <c r="G276" s="3" t="s">
        <v>1051</v>
      </c>
      <c r="H276" s="3" t="s">
        <v>400</v>
      </c>
      <c r="I276" s="3" t="s">
        <v>487</v>
      </c>
      <c r="J276" s="3" t="s">
        <v>1041</v>
      </c>
      <c r="K276" s="3" t="s">
        <v>1052</v>
      </c>
      <c r="L276" s="4">
        <v>42971</v>
      </c>
    </row>
    <row r="277" spans="1:12" x14ac:dyDescent="0.6">
      <c r="A277" s="3" t="s">
        <v>318</v>
      </c>
      <c r="B277" s="3" t="s">
        <v>11</v>
      </c>
      <c r="C277" s="3" t="s">
        <v>397</v>
      </c>
      <c r="D277" s="3">
        <v>44.363880000000002</v>
      </c>
      <c r="E277" s="3">
        <v>-93.935429999999997</v>
      </c>
      <c r="F277" s="3" t="s">
        <v>767</v>
      </c>
      <c r="G277" s="3" t="s">
        <v>1053</v>
      </c>
      <c r="H277" s="3" t="s">
        <v>400</v>
      </c>
      <c r="I277" s="3" t="s">
        <v>401</v>
      </c>
      <c r="J277" s="3" t="s">
        <v>759</v>
      </c>
      <c r="K277" s="3" t="s">
        <v>1054</v>
      </c>
      <c r="L277" s="4">
        <v>42974</v>
      </c>
    </row>
    <row r="278" spans="1:12" x14ac:dyDescent="0.6">
      <c r="A278" s="3" t="s">
        <v>319</v>
      </c>
      <c r="B278" s="3" t="s">
        <v>11</v>
      </c>
      <c r="C278" s="3" t="s">
        <v>397</v>
      </c>
      <c r="D278" s="3">
        <v>44.364130000000003</v>
      </c>
      <c r="E278" s="3">
        <v>-93.935509999999994</v>
      </c>
      <c r="F278" s="3" t="s">
        <v>767</v>
      </c>
      <c r="G278" s="3" t="s">
        <v>1055</v>
      </c>
      <c r="H278" s="3" t="s">
        <v>400</v>
      </c>
      <c r="I278" s="3" t="s">
        <v>401</v>
      </c>
      <c r="J278" s="3" t="s">
        <v>759</v>
      </c>
      <c r="K278" s="3" t="s">
        <v>1056</v>
      </c>
      <c r="L278" s="4">
        <v>42974</v>
      </c>
    </row>
    <row r="279" spans="1:12" x14ac:dyDescent="0.6">
      <c r="A279" s="3" t="s">
        <v>320</v>
      </c>
      <c r="B279" s="3" t="s">
        <v>11</v>
      </c>
      <c r="C279" s="3" t="s">
        <v>397</v>
      </c>
      <c r="D279" s="3">
        <v>45.53</v>
      </c>
      <c r="E279" s="3">
        <v>-94.232910000000004</v>
      </c>
      <c r="F279" s="3" t="s">
        <v>1057</v>
      </c>
      <c r="G279" s="3" t="s">
        <v>1058</v>
      </c>
      <c r="H279" s="3" t="s">
        <v>400</v>
      </c>
      <c r="I279" s="3" t="s">
        <v>401</v>
      </c>
      <c r="J279" s="3" t="s">
        <v>759</v>
      </c>
      <c r="K279" s="3" t="s">
        <v>1059</v>
      </c>
      <c r="L279" s="4">
        <v>42975</v>
      </c>
    </row>
    <row r="280" spans="1:12" x14ac:dyDescent="0.6">
      <c r="A280" s="3" t="s">
        <v>321</v>
      </c>
      <c r="B280" s="3" t="s">
        <v>11</v>
      </c>
      <c r="C280" s="3" t="s">
        <v>397</v>
      </c>
      <c r="D280" s="3">
        <v>45.530880000000003</v>
      </c>
      <c r="E280" s="3">
        <v>-94.239890000000003</v>
      </c>
      <c r="F280" s="3" t="s">
        <v>1057</v>
      </c>
      <c r="G280" s="3" t="s">
        <v>1060</v>
      </c>
      <c r="H280" s="3" t="s">
        <v>400</v>
      </c>
      <c r="I280" s="3" t="s">
        <v>401</v>
      </c>
      <c r="J280" s="3" t="s">
        <v>759</v>
      </c>
      <c r="K280" s="3" t="s">
        <v>1061</v>
      </c>
      <c r="L280" s="4">
        <v>42975</v>
      </c>
    </row>
    <row r="281" spans="1:12" x14ac:dyDescent="0.6">
      <c r="A281" s="3" t="s">
        <v>322</v>
      </c>
      <c r="B281" s="3" t="s">
        <v>11</v>
      </c>
      <c r="C281" s="3" t="s">
        <v>397</v>
      </c>
      <c r="D281" s="3">
        <v>44.986020000000003</v>
      </c>
      <c r="E281" s="3">
        <v>-93.183409999999995</v>
      </c>
      <c r="F281" s="3" t="s">
        <v>425</v>
      </c>
      <c r="G281" s="3" t="s">
        <v>1062</v>
      </c>
      <c r="H281" s="3" t="s">
        <v>400</v>
      </c>
      <c r="I281" s="3" t="s">
        <v>401</v>
      </c>
      <c r="J281" s="3" t="s">
        <v>759</v>
      </c>
      <c r="K281" s="3" t="s">
        <v>1063</v>
      </c>
      <c r="L281" s="4">
        <v>42975</v>
      </c>
    </row>
    <row r="282" spans="1:12" x14ac:dyDescent="0.6">
      <c r="A282" s="3" t="s">
        <v>323</v>
      </c>
      <c r="B282" s="3" t="s">
        <v>11</v>
      </c>
      <c r="C282" s="3" t="s">
        <v>397</v>
      </c>
      <c r="D282" s="3">
        <v>44.990940000000002</v>
      </c>
      <c r="E282" s="3">
        <v>-93.194370000000006</v>
      </c>
      <c r="F282" s="3" t="s">
        <v>425</v>
      </c>
      <c r="G282" s="3" t="s">
        <v>1064</v>
      </c>
      <c r="H282" s="3" t="s">
        <v>400</v>
      </c>
      <c r="I282" s="3" t="s">
        <v>401</v>
      </c>
      <c r="J282" s="3" t="s">
        <v>759</v>
      </c>
      <c r="K282" s="3" t="s">
        <v>1065</v>
      </c>
      <c r="L282" s="4">
        <v>42975</v>
      </c>
    </row>
    <row r="283" spans="1:12" x14ac:dyDescent="0.6">
      <c r="A283" s="3" t="s">
        <v>324</v>
      </c>
      <c r="B283" s="3" t="s">
        <v>11</v>
      </c>
      <c r="C283" s="3" t="s">
        <v>397</v>
      </c>
      <c r="D283" s="3">
        <v>44.977710000000002</v>
      </c>
      <c r="E283" s="3">
        <v>-93.238010000000003</v>
      </c>
      <c r="F283" s="3" t="s">
        <v>425</v>
      </c>
      <c r="G283" s="3" t="s">
        <v>1066</v>
      </c>
      <c r="H283" s="3" t="s">
        <v>400</v>
      </c>
      <c r="I283" s="3" t="s">
        <v>401</v>
      </c>
      <c r="J283" s="3" t="s">
        <v>759</v>
      </c>
      <c r="K283" s="3" t="s">
        <v>1067</v>
      </c>
      <c r="L283" s="4">
        <v>42976</v>
      </c>
    </row>
    <row r="284" spans="1:12" x14ac:dyDescent="0.6">
      <c r="A284" s="3" t="s">
        <v>325</v>
      </c>
      <c r="B284" s="3" t="s">
        <v>11</v>
      </c>
      <c r="C284" s="3" t="s">
        <v>397</v>
      </c>
      <c r="D284" s="3">
        <v>41.088740000000001</v>
      </c>
      <c r="E284" s="3">
        <v>-85.120540000000005</v>
      </c>
      <c r="F284" s="3" t="s">
        <v>1068</v>
      </c>
      <c r="G284" s="3" t="s">
        <v>1069</v>
      </c>
      <c r="H284" s="3" t="s">
        <v>400</v>
      </c>
      <c r="I284" s="3" t="s">
        <v>672</v>
      </c>
      <c r="J284" s="3" t="s">
        <v>708</v>
      </c>
      <c r="K284" s="3" t="s">
        <v>1070</v>
      </c>
      <c r="L284" s="4">
        <v>42981</v>
      </c>
    </row>
    <row r="285" spans="1:12" x14ac:dyDescent="0.6">
      <c r="A285" s="3" t="s">
        <v>326</v>
      </c>
      <c r="B285" s="3" t="s">
        <v>11</v>
      </c>
      <c r="C285" s="3" t="s">
        <v>397</v>
      </c>
      <c r="D285" s="3">
        <v>41.089370000000002</v>
      </c>
      <c r="E285" s="3">
        <v>-85.119209999999995</v>
      </c>
      <c r="F285" s="3" t="s">
        <v>1068</v>
      </c>
      <c r="G285" s="3" t="s">
        <v>1071</v>
      </c>
      <c r="H285" s="3" t="s">
        <v>400</v>
      </c>
      <c r="I285" s="3" t="s">
        <v>672</v>
      </c>
      <c r="J285" s="3" t="s">
        <v>708</v>
      </c>
      <c r="K285" s="3" t="s">
        <v>1072</v>
      </c>
      <c r="L285" s="4">
        <v>42981</v>
      </c>
    </row>
    <row r="286" spans="1:12" x14ac:dyDescent="0.6">
      <c r="A286" s="3" t="s">
        <v>327</v>
      </c>
      <c r="B286" s="3" t="s">
        <v>11</v>
      </c>
      <c r="C286" s="3" t="s">
        <v>397</v>
      </c>
      <c r="D286" s="3">
        <v>40.043599999999998</v>
      </c>
      <c r="E286" s="3">
        <v>-83.479870000000005</v>
      </c>
      <c r="F286" s="3" t="s">
        <v>1073</v>
      </c>
      <c r="G286" s="3" t="s">
        <v>1074</v>
      </c>
      <c r="H286" s="3" t="s">
        <v>400</v>
      </c>
      <c r="I286" s="3" t="s">
        <v>772</v>
      </c>
      <c r="J286" s="3" t="s">
        <v>708</v>
      </c>
      <c r="K286" s="3" t="s">
        <v>1075</v>
      </c>
      <c r="L286" s="4">
        <v>42983</v>
      </c>
    </row>
    <row r="287" spans="1:12" x14ac:dyDescent="0.6">
      <c r="A287" s="3" t="s">
        <v>328</v>
      </c>
      <c r="B287" s="3" t="s">
        <v>11</v>
      </c>
      <c r="C287" s="3" t="s">
        <v>397</v>
      </c>
      <c r="D287" s="3">
        <v>40.044359999999998</v>
      </c>
      <c r="E287" s="3">
        <v>-83.478909999999999</v>
      </c>
      <c r="F287" s="3" t="s">
        <v>1073</v>
      </c>
      <c r="G287" s="3" t="s">
        <v>1076</v>
      </c>
      <c r="H287" s="3" t="s">
        <v>400</v>
      </c>
      <c r="I287" s="3" t="s">
        <v>772</v>
      </c>
      <c r="J287" s="3" t="s">
        <v>708</v>
      </c>
      <c r="K287" s="3" t="s">
        <v>1077</v>
      </c>
      <c r="L287" s="4">
        <v>42983</v>
      </c>
    </row>
    <row r="288" spans="1:12" x14ac:dyDescent="0.6">
      <c r="A288" s="3" t="s">
        <v>330</v>
      </c>
      <c r="B288" s="3" t="s">
        <v>11</v>
      </c>
      <c r="C288" s="3" t="s">
        <v>397</v>
      </c>
      <c r="D288" s="3">
        <v>40.730359999999997</v>
      </c>
      <c r="E288" s="3">
        <v>-83.094719999999995</v>
      </c>
      <c r="F288" s="3" t="s">
        <v>770</v>
      </c>
      <c r="G288" s="3" t="s">
        <v>1078</v>
      </c>
      <c r="H288" s="3" t="s">
        <v>400</v>
      </c>
      <c r="I288" s="3" t="s">
        <v>772</v>
      </c>
      <c r="J288" s="3" t="s">
        <v>708</v>
      </c>
      <c r="K288" s="3" t="s">
        <v>1079</v>
      </c>
      <c r="L288" s="4">
        <v>42983</v>
      </c>
    </row>
    <row r="289" spans="1:12" x14ac:dyDescent="0.6">
      <c r="A289" s="3" t="s">
        <v>331</v>
      </c>
      <c r="B289" s="3" t="s">
        <v>11</v>
      </c>
      <c r="C289" s="3" t="s">
        <v>397</v>
      </c>
      <c r="D289" s="3">
        <v>40.728189999999998</v>
      </c>
      <c r="E289" s="3">
        <v>-83.092939999999999</v>
      </c>
      <c r="F289" s="3" t="s">
        <v>770</v>
      </c>
      <c r="G289" s="3" t="s">
        <v>1080</v>
      </c>
      <c r="H289" s="3" t="s">
        <v>400</v>
      </c>
      <c r="I289" s="3" t="s">
        <v>772</v>
      </c>
      <c r="J289" s="3" t="s">
        <v>708</v>
      </c>
      <c r="K289" s="3" t="s">
        <v>1081</v>
      </c>
      <c r="L289" s="4">
        <v>42983</v>
      </c>
    </row>
    <row r="290" spans="1:12" x14ac:dyDescent="0.6">
      <c r="A290" s="3" t="s">
        <v>334</v>
      </c>
      <c r="B290" s="3" t="s">
        <v>96</v>
      </c>
      <c r="C290" s="3" t="s">
        <v>397</v>
      </c>
      <c r="D290" s="3">
        <v>41.551110000000001</v>
      </c>
      <c r="E290" s="3">
        <v>-84.35754</v>
      </c>
      <c r="F290" s="3" t="s">
        <v>774</v>
      </c>
      <c r="G290" s="3" t="s">
        <v>1082</v>
      </c>
      <c r="H290" s="3" t="s">
        <v>400</v>
      </c>
      <c r="I290" s="3" t="s">
        <v>772</v>
      </c>
      <c r="J290" s="3" t="s">
        <v>708</v>
      </c>
      <c r="K290" s="3" t="s">
        <v>1083</v>
      </c>
      <c r="L290" s="4">
        <v>42984</v>
      </c>
    </row>
    <row r="291" spans="1:12" x14ac:dyDescent="0.6">
      <c r="A291" s="3" t="s">
        <v>335</v>
      </c>
      <c r="B291" s="3" t="s">
        <v>54</v>
      </c>
      <c r="C291" s="3" t="s">
        <v>397</v>
      </c>
      <c r="D291" s="3">
        <v>41.551839999999999</v>
      </c>
      <c r="E291" s="3">
        <v>-84.355230000000006</v>
      </c>
      <c r="F291" s="3" t="s">
        <v>774</v>
      </c>
      <c r="G291" s="3" t="s">
        <v>1084</v>
      </c>
      <c r="H291" s="3" t="s">
        <v>400</v>
      </c>
      <c r="I291" s="3" t="s">
        <v>772</v>
      </c>
      <c r="J291" s="3" t="s">
        <v>708</v>
      </c>
      <c r="K291" s="3" t="s">
        <v>1085</v>
      </c>
      <c r="L291" s="4">
        <v>42984</v>
      </c>
    </row>
    <row r="292" spans="1:12" x14ac:dyDescent="0.6">
      <c r="A292" s="3" t="s">
        <v>336</v>
      </c>
      <c r="B292" s="3" t="s">
        <v>96</v>
      </c>
      <c r="C292" s="3" t="s">
        <v>397</v>
      </c>
      <c r="D292" s="3">
        <v>41.551789999999997</v>
      </c>
      <c r="E292" s="3">
        <v>-84.354389999999995</v>
      </c>
      <c r="F292" s="3" t="s">
        <v>774</v>
      </c>
      <c r="G292" s="3" t="s">
        <v>1086</v>
      </c>
      <c r="H292" s="3" t="s">
        <v>400</v>
      </c>
      <c r="I292" s="3" t="s">
        <v>772</v>
      </c>
      <c r="J292" s="3" t="s">
        <v>708</v>
      </c>
      <c r="K292" s="3" t="s">
        <v>1087</v>
      </c>
      <c r="L292" s="4">
        <v>42984</v>
      </c>
    </row>
    <row r="293" spans="1:12" x14ac:dyDescent="0.6">
      <c r="A293" s="3" t="s">
        <v>337</v>
      </c>
      <c r="B293" s="3" t="s">
        <v>11</v>
      </c>
      <c r="C293" s="3" t="s">
        <v>397</v>
      </c>
      <c r="D293" s="3">
        <v>41.55453</v>
      </c>
      <c r="E293" s="3">
        <v>-84.354939999999999</v>
      </c>
      <c r="F293" s="3" t="s">
        <v>774</v>
      </c>
      <c r="G293" s="3" t="s">
        <v>1088</v>
      </c>
      <c r="H293" s="3" t="s">
        <v>400</v>
      </c>
      <c r="I293" s="3" t="s">
        <v>772</v>
      </c>
      <c r="J293" s="3" t="s">
        <v>708</v>
      </c>
      <c r="K293" s="3" t="s">
        <v>1089</v>
      </c>
      <c r="L293" s="4">
        <v>42984</v>
      </c>
    </row>
    <row r="294" spans="1:12" x14ac:dyDescent="0.6">
      <c r="A294" s="3" t="s">
        <v>339</v>
      </c>
      <c r="B294" s="3" t="s">
        <v>54</v>
      </c>
      <c r="C294" s="3" t="s">
        <v>397</v>
      </c>
      <c r="D294" s="3">
        <v>41.553989999999999</v>
      </c>
      <c r="E294" s="3">
        <v>-84.360510000000005</v>
      </c>
      <c r="F294" s="3" t="s">
        <v>774</v>
      </c>
      <c r="G294" s="3" t="s">
        <v>1090</v>
      </c>
      <c r="H294" s="3" t="s">
        <v>400</v>
      </c>
      <c r="I294" s="3" t="s">
        <v>772</v>
      </c>
      <c r="J294" s="3" t="s">
        <v>708</v>
      </c>
      <c r="K294" s="3" t="s">
        <v>1091</v>
      </c>
      <c r="L294" s="4">
        <v>42984</v>
      </c>
    </row>
    <row r="295" spans="1:12" x14ac:dyDescent="0.6">
      <c r="A295" s="3" t="s">
        <v>340</v>
      </c>
      <c r="B295" s="3" t="s">
        <v>54</v>
      </c>
      <c r="C295" s="3" t="s">
        <v>397</v>
      </c>
      <c r="D295" s="3">
        <v>41.715539999999997</v>
      </c>
      <c r="E295" s="3">
        <v>-87.866129999999998</v>
      </c>
      <c r="F295" s="3" t="s">
        <v>501</v>
      </c>
      <c r="G295" s="3" t="s">
        <v>1092</v>
      </c>
      <c r="H295" s="3" t="s">
        <v>400</v>
      </c>
      <c r="I295" s="3" t="s">
        <v>445</v>
      </c>
      <c r="J295" s="3" t="s">
        <v>759</v>
      </c>
      <c r="K295" s="3" t="s">
        <v>1093</v>
      </c>
      <c r="L295" s="4">
        <v>42989</v>
      </c>
    </row>
    <row r="296" spans="1:12" x14ac:dyDescent="0.6">
      <c r="A296" s="3" t="s">
        <v>341</v>
      </c>
      <c r="B296" s="3" t="s">
        <v>11</v>
      </c>
      <c r="C296" s="3" t="s">
        <v>397</v>
      </c>
      <c r="D296" s="3">
        <v>41.715530000000001</v>
      </c>
      <c r="E296" s="3">
        <v>-87.866140000000001</v>
      </c>
      <c r="F296" s="3" t="s">
        <v>501</v>
      </c>
      <c r="G296" s="3" t="s">
        <v>1094</v>
      </c>
      <c r="H296" s="3" t="s">
        <v>400</v>
      </c>
      <c r="I296" s="3" t="s">
        <v>445</v>
      </c>
      <c r="J296" s="3" t="s">
        <v>759</v>
      </c>
      <c r="K296" s="3" t="s">
        <v>1095</v>
      </c>
      <c r="L296" s="4">
        <v>42989</v>
      </c>
    </row>
    <row r="297" spans="1:12" x14ac:dyDescent="0.6">
      <c r="A297" s="3" t="s">
        <v>342</v>
      </c>
      <c r="B297" s="3" t="s">
        <v>11</v>
      </c>
      <c r="C297" s="3" t="s">
        <v>397</v>
      </c>
      <c r="D297" s="3">
        <v>41.711289999999998</v>
      </c>
      <c r="E297" s="3">
        <v>-87.865889999999993</v>
      </c>
      <c r="F297" s="3" t="s">
        <v>501</v>
      </c>
      <c r="G297" s="3" t="s">
        <v>1096</v>
      </c>
      <c r="H297" s="3" t="s">
        <v>400</v>
      </c>
      <c r="I297" s="3" t="s">
        <v>445</v>
      </c>
      <c r="J297" s="3" t="s">
        <v>759</v>
      </c>
      <c r="K297" s="3" t="s">
        <v>1097</v>
      </c>
      <c r="L297" s="4">
        <v>42989</v>
      </c>
    </row>
    <row r="298" spans="1:12" x14ac:dyDescent="0.6">
      <c r="A298" s="3" t="s">
        <v>343</v>
      </c>
      <c r="B298" s="3" t="s">
        <v>54</v>
      </c>
      <c r="C298" s="3" t="s">
        <v>397</v>
      </c>
      <c r="D298" s="3">
        <v>41.710760000000001</v>
      </c>
      <c r="E298" s="3">
        <v>-87.865849999999995</v>
      </c>
      <c r="F298" s="3" t="s">
        <v>501</v>
      </c>
      <c r="G298" s="3" t="s">
        <v>1098</v>
      </c>
      <c r="H298" s="3" t="s">
        <v>400</v>
      </c>
      <c r="I298" s="3" t="s">
        <v>445</v>
      </c>
      <c r="J298" s="3" t="s">
        <v>759</v>
      </c>
      <c r="K298" s="3" t="s">
        <v>1099</v>
      </c>
      <c r="L298" s="4">
        <v>42989</v>
      </c>
    </row>
    <row r="299" spans="1:12" x14ac:dyDescent="0.6">
      <c r="A299" s="3" t="s">
        <v>344</v>
      </c>
      <c r="B299" s="3" t="s">
        <v>11</v>
      </c>
      <c r="C299" s="3" t="s">
        <v>397</v>
      </c>
      <c r="D299" s="3">
        <v>41.704889999999999</v>
      </c>
      <c r="E299" s="3">
        <v>-87.865629999999996</v>
      </c>
      <c r="F299" s="3" t="s">
        <v>501</v>
      </c>
      <c r="G299" s="3" t="s">
        <v>1100</v>
      </c>
      <c r="H299" s="3" t="s">
        <v>400</v>
      </c>
      <c r="I299" s="3" t="s">
        <v>445</v>
      </c>
      <c r="J299" s="3" t="s">
        <v>759</v>
      </c>
      <c r="K299" s="3" t="s">
        <v>1101</v>
      </c>
      <c r="L299" s="4">
        <v>42989</v>
      </c>
    </row>
    <row r="300" spans="1:12" x14ac:dyDescent="0.6">
      <c r="A300" s="3" t="s">
        <v>345</v>
      </c>
      <c r="B300" s="3" t="s">
        <v>54</v>
      </c>
      <c r="C300" s="3" t="s">
        <v>397</v>
      </c>
      <c r="D300" s="3">
        <v>41.70382</v>
      </c>
      <c r="E300" s="3">
        <v>-87.865660000000005</v>
      </c>
      <c r="F300" s="3" t="s">
        <v>501</v>
      </c>
      <c r="G300" s="3" t="s">
        <v>1102</v>
      </c>
      <c r="H300" s="3" t="s">
        <v>400</v>
      </c>
      <c r="I300" s="3" t="s">
        <v>445</v>
      </c>
      <c r="J300" s="3" t="s">
        <v>759</v>
      </c>
      <c r="K300" s="3" t="s">
        <v>1103</v>
      </c>
      <c r="L300" s="4">
        <v>42989</v>
      </c>
    </row>
    <row r="301" spans="1:12" x14ac:dyDescent="0.6">
      <c r="A301" s="3" t="s">
        <v>346</v>
      </c>
      <c r="B301" s="3" t="s">
        <v>11</v>
      </c>
      <c r="C301" s="3" t="s">
        <v>397</v>
      </c>
      <c r="D301" s="3">
        <v>41.35763</v>
      </c>
      <c r="E301" s="3">
        <v>-88.324799999999996</v>
      </c>
      <c r="F301" s="3" t="s">
        <v>1104</v>
      </c>
      <c r="G301" s="3" t="s">
        <v>1105</v>
      </c>
      <c r="H301" s="3" t="s">
        <v>400</v>
      </c>
      <c r="I301" s="3" t="s">
        <v>445</v>
      </c>
      <c r="J301" s="3" t="s">
        <v>759</v>
      </c>
      <c r="K301" s="3" t="s">
        <v>1106</v>
      </c>
      <c r="L301" s="4">
        <v>42990</v>
      </c>
    </row>
    <row r="302" spans="1:12" x14ac:dyDescent="0.6">
      <c r="A302" s="3" t="s">
        <v>347</v>
      </c>
      <c r="B302" s="3" t="s">
        <v>11</v>
      </c>
      <c r="C302" s="3" t="s">
        <v>397</v>
      </c>
      <c r="D302" s="3">
        <v>41.355429999999998</v>
      </c>
      <c r="E302" s="3">
        <v>-88.319119999999998</v>
      </c>
      <c r="F302" s="3" t="s">
        <v>1104</v>
      </c>
      <c r="G302" s="3" t="s">
        <v>1107</v>
      </c>
      <c r="H302" s="3" t="s">
        <v>400</v>
      </c>
      <c r="I302" s="3" t="s">
        <v>445</v>
      </c>
      <c r="J302" s="3" t="s">
        <v>759</v>
      </c>
      <c r="K302" s="3" t="s">
        <v>1108</v>
      </c>
      <c r="L302" s="4">
        <v>42990</v>
      </c>
    </row>
    <row r="303" spans="1:12" x14ac:dyDescent="0.6">
      <c r="A303" s="3" t="s">
        <v>348</v>
      </c>
      <c r="B303" s="3" t="s">
        <v>11</v>
      </c>
      <c r="C303" s="3" t="s">
        <v>397</v>
      </c>
      <c r="D303" s="3">
        <v>41.358229999999999</v>
      </c>
      <c r="E303" s="3">
        <v>-88.324799999999996</v>
      </c>
      <c r="F303" s="3" t="s">
        <v>1104</v>
      </c>
      <c r="G303" s="3" t="s">
        <v>1109</v>
      </c>
      <c r="H303" s="3" t="s">
        <v>400</v>
      </c>
      <c r="I303" s="3" t="s">
        <v>445</v>
      </c>
      <c r="J303" s="3" t="s">
        <v>759</v>
      </c>
      <c r="K303" s="3" t="s">
        <v>1110</v>
      </c>
      <c r="L303" s="4">
        <v>42990</v>
      </c>
    </row>
    <row r="304" spans="1:12" x14ac:dyDescent="0.6">
      <c r="A304" s="3" t="s">
        <v>349</v>
      </c>
      <c r="B304" s="3" t="s">
        <v>11</v>
      </c>
      <c r="C304" s="3" t="s">
        <v>397</v>
      </c>
      <c r="D304" s="3">
        <v>42.18309</v>
      </c>
      <c r="E304" s="3">
        <v>-87.913669999999996</v>
      </c>
      <c r="F304" s="3" t="s">
        <v>522</v>
      </c>
      <c r="G304" s="3" t="s">
        <v>1111</v>
      </c>
      <c r="H304" s="3" t="s">
        <v>400</v>
      </c>
      <c r="I304" s="3" t="s">
        <v>445</v>
      </c>
      <c r="J304" s="3" t="s">
        <v>759</v>
      </c>
      <c r="K304" s="3" t="s">
        <v>1112</v>
      </c>
      <c r="L304" s="4">
        <v>42991</v>
      </c>
    </row>
    <row r="305" spans="1:12" x14ac:dyDescent="0.6">
      <c r="A305" s="3" t="s">
        <v>350</v>
      </c>
      <c r="B305" s="3" t="s">
        <v>54</v>
      </c>
      <c r="C305" s="3" t="s">
        <v>397</v>
      </c>
      <c r="D305" s="3">
        <v>42.183459999999997</v>
      </c>
      <c r="E305" s="3">
        <v>-87.913390000000007</v>
      </c>
      <c r="F305" s="3" t="s">
        <v>522</v>
      </c>
      <c r="G305" s="3" t="s">
        <v>1113</v>
      </c>
      <c r="H305" s="3" t="s">
        <v>400</v>
      </c>
      <c r="I305" s="3" t="s">
        <v>445</v>
      </c>
      <c r="J305" s="3" t="s">
        <v>759</v>
      </c>
      <c r="K305" s="3" t="s">
        <v>1114</v>
      </c>
      <c r="L305" s="4">
        <v>42991</v>
      </c>
    </row>
    <row r="306" spans="1:12" x14ac:dyDescent="0.6">
      <c r="A306" s="3" t="s">
        <v>353</v>
      </c>
      <c r="B306" s="3" t="s">
        <v>29</v>
      </c>
      <c r="C306" s="3" t="s">
        <v>397</v>
      </c>
      <c r="D306" s="3">
        <v>42.184609999999999</v>
      </c>
      <c r="E306" s="3">
        <v>-87.916049999999998</v>
      </c>
      <c r="F306" s="3" t="s">
        <v>522</v>
      </c>
      <c r="G306" s="3" t="s">
        <v>1115</v>
      </c>
      <c r="H306" s="3" t="s">
        <v>400</v>
      </c>
      <c r="I306" s="3" t="s">
        <v>445</v>
      </c>
      <c r="J306" s="3" t="s">
        <v>759</v>
      </c>
      <c r="K306" s="3" t="s">
        <v>1116</v>
      </c>
      <c r="L306" s="4">
        <v>42991</v>
      </c>
    </row>
    <row r="307" spans="1:12" x14ac:dyDescent="0.6">
      <c r="A307" s="3" t="s">
        <v>354</v>
      </c>
      <c r="B307" s="3" t="s">
        <v>29</v>
      </c>
      <c r="C307" s="3" t="s">
        <v>397</v>
      </c>
      <c r="D307" s="3">
        <v>42.183610000000002</v>
      </c>
      <c r="E307" s="3">
        <v>-87.915189999999996</v>
      </c>
      <c r="F307" s="3" t="s">
        <v>522</v>
      </c>
      <c r="G307" s="3" t="s">
        <v>1117</v>
      </c>
      <c r="H307" s="3" t="s">
        <v>400</v>
      </c>
      <c r="I307" s="3" t="s">
        <v>445</v>
      </c>
      <c r="J307" s="3" t="s">
        <v>759</v>
      </c>
      <c r="K307" s="3" t="s">
        <v>1118</v>
      </c>
      <c r="L307" s="4">
        <v>42991</v>
      </c>
    </row>
    <row r="308" spans="1:12" x14ac:dyDescent="0.6">
      <c r="A308" s="3" t="s">
        <v>355</v>
      </c>
      <c r="B308" s="3" t="s">
        <v>11</v>
      </c>
      <c r="C308" s="3" t="s">
        <v>397</v>
      </c>
      <c r="D308" s="3">
        <v>42.183689999999999</v>
      </c>
      <c r="E308" s="3">
        <v>-87.914270000000002</v>
      </c>
      <c r="F308" s="3" t="s">
        <v>522</v>
      </c>
      <c r="G308" s="3" t="s">
        <v>1119</v>
      </c>
      <c r="H308" s="3" t="s">
        <v>400</v>
      </c>
      <c r="I308" s="3" t="s">
        <v>445</v>
      </c>
      <c r="J308" s="3" t="s">
        <v>759</v>
      </c>
      <c r="K308" s="3" t="s">
        <v>1120</v>
      </c>
      <c r="L308" s="4">
        <v>42991</v>
      </c>
    </row>
    <row r="309" spans="1:12" x14ac:dyDescent="0.6">
      <c r="A309" s="3" t="s">
        <v>356</v>
      </c>
      <c r="B309" s="3" t="s">
        <v>54</v>
      </c>
      <c r="C309" s="3" t="s">
        <v>397</v>
      </c>
      <c r="D309" s="3">
        <v>42.18271</v>
      </c>
      <c r="E309" s="3">
        <v>-87.914789999999996</v>
      </c>
      <c r="F309" s="3" t="s">
        <v>522</v>
      </c>
      <c r="G309" s="3" t="s">
        <v>1121</v>
      </c>
      <c r="H309" s="3" t="s">
        <v>400</v>
      </c>
      <c r="I309" s="3" t="s">
        <v>445</v>
      </c>
      <c r="J309" s="3" t="s">
        <v>759</v>
      </c>
      <c r="K309" s="3" t="s">
        <v>1122</v>
      </c>
      <c r="L309" s="4">
        <v>42991</v>
      </c>
    </row>
    <row r="310" spans="1:12" x14ac:dyDescent="0.6">
      <c r="A310" s="3" t="s">
        <v>358</v>
      </c>
      <c r="B310" s="3" t="s">
        <v>11</v>
      </c>
      <c r="C310" s="3" t="s">
        <v>397</v>
      </c>
      <c r="D310" s="3">
        <v>41.824840000000002</v>
      </c>
      <c r="E310" s="3">
        <v>-87.932429999999997</v>
      </c>
      <c r="F310" s="3" t="s">
        <v>785</v>
      </c>
      <c r="G310" s="3" t="s">
        <v>1123</v>
      </c>
      <c r="H310" s="3" t="s">
        <v>400</v>
      </c>
      <c r="I310" s="3" t="s">
        <v>445</v>
      </c>
      <c r="J310" s="3" t="s">
        <v>759</v>
      </c>
      <c r="K310" s="3" t="s">
        <v>1124</v>
      </c>
      <c r="L310" s="4">
        <v>42992</v>
      </c>
    </row>
    <row r="311" spans="1:12" x14ac:dyDescent="0.6">
      <c r="A311" s="3" t="s">
        <v>359</v>
      </c>
      <c r="B311" s="3" t="s">
        <v>54</v>
      </c>
      <c r="C311" s="3" t="s">
        <v>397</v>
      </c>
      <c r="D311" s="3">
        <v>41.825339999999997</v>
      </c>
      <c r="E311" s="3">
        <v>-87.932159999999996</v>
      </c>
      <c r="F311" s="3" t="s">
        <v>785</v>
      </c>
      <c r="G311" s="3" t="s">
        <v>1125</v>
      </c>
      <c r="H311" s="3" t="s">
        <v>400</v>
      </c>
      <c r="I311" s="3" t="s">
        <v>445</v>
      </c>
      <c r="J311" s="3" t="s">
        <v>759</v>
      </c>
      <c r="K311" s="3" t="s">
        <v>1126</v>
      </c>
      <c r="L311" s="4">
        <v>42992</v>
      </c>
    </row>
    <row r="312" spans="1:12" x14ac:dyDescent="0.6">
      <c r="A312" s="3" t="s">
        <v>360</v>
      </c>
      <c r="B312" s="3" t="s">
        <v>54</v>
      </c>
      <c r="C312" s="3" t="s">
        <v>397</v>
      </c>
      <c r="D312" s="3">
        <v>41.825839999999999</v>
      </c>
      <c r="E312" s="3">
        <v>-87.933390000000003</v>
      </c>
      <c r="F312" s="3" t="s">
        <v>785</v>
      </c>
      <c r="G312" s="3" t="s">
        <v>1127</v>
      </c>
      <c r="H312" s="3" t="s">
        <v>400</v>
      </c>
      <c r="I312" s="3" t="s">
        <v>445</v>
      </c>
      <c r="J312" s="3" t="s">
        <v>759</v>
      </c>
      <c r="K312" s="3" t="s">
        <v>1128</v>
      </c>
      <c r="L312" s="4">
        <v>42992</v>
      </c>
    </row>
    <row r="313" spans="1:12" x14ac:dyDescent="0.6">
      <c r="A313" s="3" t="s">
        <v>361</v>
      </c>
      <c r="B313" s="3" t="s">
        <v>29</v>
      </c>
      <c r="C313" s="3" t="s">
        <v>397</v>
      </c>
      <c r="D313" s="3">
        <v>41.824719999999999</v>
      </c>
      <c r="E313" s="3">
        <v>-87.964079999999996</v>
      </c>
      <c r="F313" s="3" t="s">
        <v>785</v>
      </c>
      <c r="G313" s="3" t="s">
        <v>1129</v>
      </c>
      <c r="H313" s="3" t="s">
        <v>400</v>
      </c>
      <c r="I313" s="3" t="s">
        <v>445</v>
      </c>
      <c r="J313" s="3" t="s">
        <v>759</v>
      </c>
      <c r="K313" s="3" t="s">
        <v>1130</v>
      </c>
      <c r="L313" s="4">
        <v>42992</v>
      </c>
    </row>
    <row r="314" spans="1:12" x14ac:dyDescent="0.6">
      <c r="A314" s="3" t="s">
        <v>362</v>
      </c>
      <c r="B314" s="3" t="s">
        <v>11</v>
      </c>
      <c r="C314" s="3" t="s">
        <v>397</v>
      </c>
      <c r="D314" s="3">
        <v>41.825449999999996</v>
      </c>
      <c r="E314" s="3">
        <v>-87.932659999999998</v>
      </c>
      <c r="F314" s="3" t="s">
        <v>785</v>
      </c>
      <c r="G314" s="3" t="s">
        <v>1131</v>
      </c>
      <c r="H314" s="3" t="s">
        <v>400</v>
      </c>
      <c r="I314" s="3" t="s">
        <v>445</v>
      </c>
      <c r="J314" s="3" t="s">
        <v>759</v>
      </c>
      <c r="K314" s="3" t="s">
        <v>1132</v>
      </c>
      <c r="L314" s="4">
        <v>42992</v>
      </c>
    </row>
    <row r="315" spans="1:12" x14ac:dyDescent="0.6">
      <c r="A315" s="3" t="s">
        <v>363</v>
      </c>
      <c r="B315" s="3" t="s">
        <v>11</v>
      </c>
      <c r="C315" s="3" t="s">
        <v>397</v>
      </c>
      <c r="D315" s="3">
        <v>41.825560000000003</v>
      </c>
      <c r="E315" s="3">
        <v>-87.932789999999997</v>
      </c>
      <c r="F315" s="3" t="s">
        <v>785</v>
      </c>
      <c r="G315" s="3" t="s">
        <v>1133</v>
      </c>
      <c r="H315" s="3" t="s">
        <v>400</v>
      </c>
      <c r="I315" s="3" t="s">
        <v>445</v>
      </c>
      <c r="J315" s="3" t="s">
        <v>759</v>
      </c>
      <c r="K315" s="3" t="s">
        <v>1134</v>
      </c>
      <c r="L315" s="4">
        <v>42992</v>
      </c>
    </row>
    <row r="316" spans="1:12" x14ac:dyDescent="0.6">
      <c r="A316" s="3" t="s">
        <v>364</v>
      </c>
      <c r="B316" s="3" t="s">
        <v>11</v>
      </c>
      <c r="C316" s="3" t="s">
        <v>397</v>
      </c>
      <c r="D316" s="3">
        <v>42.257804</v>
      </c>
      <c r="E316" s="3">
        <v>-87.881608999999997</v>
      </c>
      <c r="F316" s="3" t="s">
        <v>1135</v>
      </c>
      <c r="G316" s="3" t="s">
        <v>1136</v>
      </c>
      <c r="H316" s="3" t="s">
        <v>400</v>
      </c>
      <c r="I316" s="3" t="s">
        <v>445</v>
      </c>
      <c r="J316" s="3" t="s">
        <v>1137</v>
      </c>
      <c r="K316" s="3" t="s">
        <v>1138</v>
      </c>
      <c r="L316" s="4">
        <v>42991</v>
      </c>
    </row>
    <row r="317" spans="1:12" x14ac:dyDescent="0.6">
      <c r="A317" s="3" t="s">
        <v>365</v>
      </c>
      <c r="B317" s="3" t="s">
        <v>11</v>
      </c>
      <c r="C317" s="3" t="s">
        <v>397</v>
      </c>
      <c r="D317" s="3">
        <v>42.257804</v>
      </c>
      <c r="E317" s="3">
        <v>-87.881608999999997</v>
      </c>
      <c r="F317" s="3" t="s">
        <v>1135</v>
      </c>
      <c r="G317" s="3" t="s">
        <v>1139</v>
      </c>
      <c r="H317" s="3" t="s">
        <v>400</v>
      </c>
      <c r="I317" s="3" t="s">
        <v>445</v>
      </c>
      <c r="J317" s="3" t="s">
        <v>1137</v>
      </c>
      <c r="K317" s="3" t="s">
        <v>1140</v>
      </c>
      <c r="L317" s="4">
        <v>42991</v>
      </c>
    </row>
    <row r="318" spans="1:12" x14ac:dyDescent="0.6">
      <c r="A318" s="3" t="s">
        <v>368</v>
      </c>
      <c r="B318" s="3" t="s">
        <v>11</v>
      </c>
      <c r="C318" s="3" t="s">
        <v>397</v>
      </c>
      <c r="D318" s="3">
        <v>44.491329999999998</v>
      </c>
      <c r="E318" s="3">
        <v>-103.80895</v>
      </c>
      <c r="F318" s="3" t="s">
        <v>1141</v>
      </c>
      <c r="G318" s="3" t="s">
        <v>1142</v>
      </c>
      <c r="H318" s="3" t="s">
        <v>400</v>
      </c>
      <c r="I318" s="3" t="s">
        <v>790</v>
      </c>
      <c r="J318" s="3" t="s">
        <v>791</v>
      </c>
      <c r="K318" s="3" t="s">
        <v>1143</v>
      </c>
      <c r="L318" s="4">
        <v>42965</v>
      </c>
    </row>
    <row r="319" spans="1:12" x14ac:dyDescent="0.6">
      <c r="A319" s="3" t="s">
        <v>366</v>
      </c>
      <c r="B319" s="3" t="s">
        <v>11</v>
      </c>
      <c r="C319" s="3" t="s">
        <v>397</v>
      </c>
      <c r="D319" s="3">
        <v>43.760489999999997</v>
      </c>
      <c r="E319" s="3">
        <v>-103.47675</v>
      </c>
      <c r="F319" s="3" t="s">
        <v>788</v>
      </c>
      <c r="G319" s="3" t="s">
        <v>1144</v>
      </c>
      <c r="H319" s="3" t="s">
        <v>400</v>
      </c>
      <c r="I319" s="3" t="s">
        <v>790</v>
      </c>
      <c r="J319" s="3" t="s">
        <v>791</v>
      </c>
      <c r="K319" s="3" t="s">
        <v>1145</v>
      </c>
      <c r="L319" s="4">
        <v>42965</v>
      </c>
    </row>
    <row r="320" spans="1:12" x14ac:dyDescent="0.6">
      <c r="A320" s="3" t="s">
        <v>85</v>
      </c>
      <c r="B320" s="3" t="s">
        <v>11</v>
      </c>
      <c r="C320" s="3" t="s">
        <v>421</v>
      </c>
      <c r="D320" s="3" t="s">
        <v>422</v>
      </c>
      <c r="E320" s="3" t="s">
        <v>422</v>
      </c>
      <c r="F320" s="3" t="s">
        <v>422</v>
      </c>
      <c r="G320" s="3" t="s">
        <v>1146</v>
      </c>
      <c r="H320" s="3" t="s">
        <v>400</v>
      </c>
      <c r="I320" s="3" t="s">
        <v>672</v>
      </c>
      <c r="J320" s="3" t="s">
        <v>1147</v>
      </c>
      <c r="K320" s="3" t="s">
        <v>1148</v>
      </c>
      <c r="L320" s="4">
        <v>42886</v>
      </c>
    </row>
    <row r="321" spans="1:12" x14ac:dyDescent="0.6">
      <c r="A321" s="3" t="s">
        <v>86</v>
      </c>
      <c r="B321" s="3" t="s">
        <v>11</v>
      </c>
      <c r="C321" s="3" t="s">
        <v>421</v>
      </c>
      <c r="D321" s="3" t="s">
        <v>422</v>
      </c>
      <c r="E321" s="3" t="s">
        <v>422</v>
      </c>
      <c r="F321" s="3" t="s">
        <v>422</v>
      </c>
      <c r="G321" s="3" t="s">
        <v>1149</v>
      </c>
      <c r="H321" s="3" t="s">
        <v>400</v>
      </c>
      <c r="I321" s="3" t="s">
        <v>422</v>
      </c>
      <c r="J321" s="3" t="s">
        <v>1147</v>
      </c>
      <c r="K321" s="3" t="s">
        <v>1150</v>
      </c>
      <c r="L321" s="4">
        <v>42886</v>
      </c>
    </row>
    <row r="322" spans="1:12" x14ac:dyDescent="0.6">
      <c r="A322" s="3" t="s">
        <v>88</v>
      </c>
      <c r="B322" s="3" t="s">
        <v>11</v>
      </c>
      <c r="C322" s="3" t="s">
        <v>421</v>
      </c>
      <c r="D322" s="3" t="s">
        <v>422</v>
      </c>
      <c r="E322" s="3" t="s">
        <v>422</v>
      </c>
      <c r="F322" s="3" t="s">
        <v>422</v>
      </c>
      <c r="G322" s="3" t="s">
        <v>1151</v>
      </c>
      <c r="H322" s="3" t="s">
        <v>1152</v>
      </c>
      <c r="I322" s="3" t="s">
        <v>1152</v>
      </c>
      <c r="J322" s="3" t="s">
        <v>1147</v>
      </c>
      <c r="K322" s="3" t="s">
        <v>1153</v>
      </c>
      <c r="L322" s="4">
        <v>42886</v>
      </c>
    </row>
    <row r="323" spans="1:12" x14ac:dyDescent="0.6">
      <c r="A323" s="3" t="s">
        <v>89</v>
      </c>
      <c r="B323" s="3" t="s">
        <v>11</v>
      </c>
      <c r="C323" s="3" t="s">
        <v>421</v>
      </c>
      <c r="D323" s="3" t="s">
        <v>422</v>
      </c>
      <c r="E323" s="3" t="s">
        <v>422</v>
      </c>
      <c r="F323" s="3" t="s">
        <v>422</v>
      </c>
      <c r="G323" s="3" t="s">
        <v>1154</v>
      </c>
      <c r="H323" s="3" t="s">
        <v>400</v>
      </c>
      <c r="I323" s="3" t="s">
        <v>1155</v>
      </c>
      <c r="J323" s="3" t="s">
        <v>1147</v>
      </c>
      <c r="K323" s="3" t="s">
        <v>1156</v>
      </c>
      <c r="L323" s="4">
        <v>42886</v>
      </c>
    </row>
    <row r="324" spans="1:12" x14ac:dyDescent="0.6">
      <c r="A324" s="3" t="s">
        <v>90</v>
      </c>
      <c r="B324" s="3" t="s">
        <v>11</v>
      </c>
      <c r="C324" s="3" t="s">
        <v>421</v>
      </c>
      <c r="D324" s="3" t="s">
        <v>422</v>
      </c>
      <c r="E324" s="3" t="s">
        <v>422</v>
      </c>
      <c r="F324" s="3" t="s">
        <v>422</v>
      </c>
      <c r="G324" s="3" t="s">
        <v>1157</v>
      </c>
      <c r="H324" s="3" t="s">
        <v>646</v>
      </c>
      <c r="I324" s="3" t="s">
        <v>647</v>
      </c>
      <c r="J324" s="3" t="s">
        <v>1147</v>
      </c>
      <c r="K324" s="3" t="s">
        <v>1158</v>
      </c>
      <c r="L324" s="4">
        <v>42886</v>
      </c>
    </row>
    <row r="325" spans="1:12" x14ac:dyDescent="0.6">
      <c r="A325" s="3" t="s">
        <v>91</v>
      </c>
      <c r="B325" s="3" t="s">
        <v>11</v>
      </c>
      <c r="C325" s="3" t="s">
        <v>421</v>
      </c>
      <c r="D325" s="3" t="s">
        <v>422</v>
      </c>
      <c r="E325" s="3" t="s">
        <v>422</v>
      </c>
      <c r="F325" s="3" t="s">
        <v>422</v>
      </c>
      <c r="G325" s="3" t="s">
        <v>1159</v>
      </c>
      <c r="H325" s="3" t="s">
        <v>400</v>
      </c>
      <c r="I325" s="3" t="s">
        <v>657</v>
      </c>
      <c r="J325" s="3" t="s">
        <v>1147</v>
      </c>
      <c r="K325" s="3" t="s">
        <v>1160</v>
      </c>
      <c r="L325" s="4">
        <v>42886</v>
      </c>
    </row>
    <row r="326" spans="1:12" x14ac:dyDescent="0.6">
      <c r="A326" s="3" t="s">
        <v>92</v>
      </c>
      <c r="B326" s="3" t="s">
        <v>11</v>
      </c>
      <c r="C326" s="3" t="s">
        <v>421</v>
      </c>
      <c r="D326" s="3" t="s">
        <v>422</v>
      </c>
      <c r="E326" s="3" t="s">
        <v>422</v>
      </c>
      <c r="F326" s="3" t="s">
        <v>422</v>
      </c>
      <c r="G326" s="3" t="s">
        <v>1161</v>
      </c>
      <c r="H326" s="3" t="s">
        <v>400</v>
      </c>
      <c r="I326" s="3" t="s">
        <v>445</v>
      </c>
      <c r="J326" s="3" t="s">
        <v>1147</v>
      </c>
      <c r="K326" s="3" t="s">
        <v>1162</v>
      </c>
      <c r="L326" s="4">
        <v>42886</v>
      </c>
    </row>
    <row r="327" spans="1:12" x14ac:dyDescent="0.6">
      <c r="A327" s="3" t="s">
        <v>93</v>
      </c>
      <c r="B327" s="3" t="s">
        <v>11</v>
      </c>
      <c r="C327" s="3" t="s">
        <v>421</v>
      </c>
      <c r="D327" s="3" t="s">
        <v>422</v>
      </c>
      <c r="E327" s="3" t="s">
        <v>422</v>
      </c>
      <c r="F327" s="3" t="s">
        <v>422</v>
      </c>
      <c r="G327" s="3" t="s">
        <v>1163</v>
      </c>
      <c r="H327" s="3" t="s">
        <v>400</v>
      </c>
      <c r="I327" s="3" t="s">
        <v>657</v>
      </c>
      <c r="J327" s="3" t="s">
        <v>1147</v>
      </c>
      <c r="K327" s="3" t="s">
        <v>1164</v>
      </c>
      <c r="L327" s="4">
        <v>42886</v>
      </c>
    </row>
    <row r="328" spans="1:12" x14ac:dyDescent="0.6">
      <c r="A328" s="3" t="s">
        <v>94</v>
      </c>
      <c r="B328" s="3" t="s">
        <v>11</v>
      </c>
      <c r="C328" s="3" t="s">
        <v>421</v>
      </c>
      <c r="D328" s="3" t="s">
        <v>422</v>
      </c>
      <c r="E328" s="3" t="s">
        <v>422</v>
      </c>
      <c r="F328" s="3" t="s">
        <v>422</v>
      </c>
      <c r="G328" s="3" t="s">
        <v>1165</v>
      </c>
      <c r="H328" s="3" t="s">
        <v>400</v>
      </c>
      <c r="I328" s="3" t="s">
        <v>1166</v>
      </c>
      <c r="J328" s="3" t="s">
        <v>1147</v>
      </c>
      <c r="K328" s="3" t="s">
        <v>1167</v>
      </c>
      <c r="L328" s="4">
        <v>42886</v>
      </c>
    </row>
    <row r="329" spans="1:12" x14ac:dyDescent="0.6">
      <c r="A329" s="3" t="s">
        <v>95</v>
      </c>
      <c r="B329" s="3" t="s">
        <v>96</v>
      </c>
      <c r="C329" s="3" t="s">
        <v>421</v>
      </c>
      <c r="D329" s="3" t="s">
        <v>422</v>
      </c>
      <c r="E329" s="3" t="s">
        <v>422</v>
      </c>
      <c r="F329" s="3" t="s">
        <v>422</v>
      </c>
      <c r="G329" s="3" t="s">
        <v>1168</v>
      </c>
      <c r="H329" s="3" t="s">
        <v>400</v>
      </c>
      <c r="I329" s="3" t="s">
        <v>1169</v>
      </c>
      <c r="J329" s="3" t="s">
        <v>1147</v>
      </c>
      <c r="K329" s="3" t="s">
        <v>1170</v>
      </c>
      <c r="L329" s="4">
        <v>42886</v>
      </c>
    </row>
    <row r="330" spans="1:12" x14ac:dyDescent="0.6">
      <c r="A330" s="3" t="s">
        <v>97</v>
      </c>
      <c r="B330" s="3" t="s">
        <v>11</v>
      </c>
      <c r="C330" s="3" t="s">
        <v>421</v>
      </c>
      <c r="D330" s="3" t="s">
        <v>422</v>
      </c>
      <c r="E330" s="3" t="s">
        <v>422</v>
      </c>
      <c r="F330" s="3" t="s">
        <v>422</v>
      </c>
      <c r="G330" s="3" t="s">
        <v>1171</v>
      </c>
      <c r="H330" s="3" t="s">
        <v>400</v>
      </c>
      <c r="I330" s="3" t="s">
        <v>612</v>
      </c>
      <c r="J330" s="3" t="s">
        <v>1147</v>
      </c>
      <c r="K330" s="3" t="s">
        <v>1172</v>
      </c>
      <c r="L330" s="4">
        <v>42886</v>
      </c>
    </row>
    <row r="331" spans="1:12" x14ac:dyDescent="0.6">
      <c r="A331" s="3" t="s">
        <v>98</v>
      </c>
      <c r="B331" s="3" t="s">
        <v>11</v>
      </c>
      <c r="C331" s="3" t="s">
        <v>421</v>
      </c>
      <c r="D331" s="3" t="s">
        <v>422</v>
      </c>
      <c r="E331" s="3" t="s">
        <v>422</v>
      </c>
      <c r="F331" s="3" t="s">
        <v>422</v>
      </c>
      <c r="G331" s="3" t="s">
        <v>1173</v>
      </c>
      <c r="H331" s="3" t="s">
        <v>400</v>
      </c>
      <c r="I331" s="3" t="s">
        <v>657</v>
      </c>
      <c r="J331" s="3" t="s">
        <v>1147</v>
      </c>
      <c r="K331" s="3" t="s">
        <v>1174</v>
      </c>
      <c r="L331" s="4">
        <v>42886</v>
      </c>
    </row>
    <row r="332" spans="1:12" x14ac:dyDescent="0.6">
      <c r="A332" s="3" t="s">
        <v>100</v>
      </c>
      <c r="B332" s="3" t="s">
        <v>54</v>
      </c>
      <c r="C332" s="3" t="s">
        <v>421</v>
      </c>
      <c r="D332" s="3" t="s">
        <v>422</v>
      </c>
      <c r="E332" s="3" t="s">
        <v>422</v>
      </c>
      <c r="F332" s="3" t="s">
        <v>422</v>
      </c>
      <c r="G332" s="3" t="s">
        <v>1175</v>
      </c>
      <c r="H332" s="3" t="s">
        <v>400</v>
      </c>
      <c r="I332" s="3" t="s">
        <v>1176</v>
      </c>
      <c r="J332" s="3" t="s">
        <v>1147</v>
      </c>
      <c r="K332" s="3" t="s">
        <v>1177</v>
      </c>
      <c r="L332" s="4">
        <v>42886</v>
      </c>
    </row>
    <row r="333" spans="1:12" x14ac:dyDescent="0.6">
      <c r="A333" s="3" t="s">
        <v>102</v>
      </c>
      <c r="B333" s="3" t="s">
        <v>11</v>
      </c>
      <c r="C333" s="3" t="s">
        <v>421</v>
      </c>
      <c r="D333" s="3" t="s">
        <v>422</v>
      </c>
      <c r="E333" s="3" t="s">
        <v>422</v>
      </c>
      <c r="F333" s="3" t="s">
        <v>422</v>
      </c>
      <c r="G333" s="3" t="s">
        <v>1178</v>
      </c>
      <c r="H333" s="3" t="s">
        <v>400</v>
      </c>
      <c r="I333" s="3" t="s">
        <v>604</v>
      </c>
      <c r="J333" s="3" t="s">
        <v>1147</v>
      </c>
      <c r="K333" s="3" t="s">
        <v>1179</v>
      </c>
      <c r="L333" s="4">
        <v>42886</v>
      </c>
    </row>
    <row r="334" spans="1:12" x14ac:dyDescent="0.6">
      <c r="A334" s="3" t="s">
        <v>103</v>
      </c>
      <c r="B334" s="3" t="s">
        <v>11</v>
      </c>
      <c r="C334" s="3" t="s">
        <v>421</v>
      </c>
      <c r="D334" s="3" t="s">
        <v>422</v>
      </c>
      <c r="E334" s="3" t="s">
        <v>422</v>
      </c>
      <c r="F334" s="3" t="s">
        <v>422</v>
      </c>
      <c r="G334" s="3" t="s">
        <v>1180</v>
      </c>
      <c r="H334" s="3" t="s">
        <v>400</v>
      </c>
      <c r="I334" s="3" t="s">
        <v>1166</v>
      </c>
      <c r="J334" s="3" t="s">
        <v>1147</v>
      </c>
      <c r="K334" s="3" t="s">
        <v>1181</v>
      </c>
      <c r="L334" s="4">
        <v>42886</v>
      </c>
    </row>
    <row r="335" spans="1:12" x14ac:dyDescent="0.6">
      <c r="A335" s="3" t="s">
        <v>104</v>
      </c>
      <c r="B335" s="3" t="s">
        <v>11</v>
      </c>
      <c r="C335" s="3" t="s">
        <v>421</v>
      </c>
      <c r="D335" s="3" t="s">
        <v>422</v>
      </c>
      <c r="E335" s="3" t="s">
        <v>422</v>
      </c>
      <c r="F335" s="3" t="s">
        <v>422</v>
      </c>
      <c r="G335" s="3" t="s">
        <v>1182</v>
      </c>
      <c r="H335" s="3" t="s">
        <v>1152</v>
      </c>
      <c r="I335" s="3" t="s">
        <v>1152</v>
      </c>
      <c r="J335" s="3" t="s">
        <v>1147</v>
      </c>
      <c r="K335" s="3" t="s">
        <v>1183</v>
      </c>
      <c r="L335" s="4">
        <v>42886</v>
      </c>
    </row>
    <row r="336" spans="1:12" x14ac:dyDescent="0.6">
      <c r="A336" s="3" t="s">
        <v>105</v>
      </c>
      <c r="B336" s="3" t="s">
        <v>43</v>
      </c>
      <c r="C336" s="3" t="s">
        <v>421</v>
      </c>
      <c r="D336" s="3" t="s">
        <v>422</v>
      </c>
      <c r="E336" s="3" t="s">
        <v>422</v>
      </c>
      <c r="F336" s="3" t="s">
        <v>422</v>
      </c>
      <c r="G336" s="3" t="s">
        <v>1184</v>
      </c>
      <c r="H336" s="3" t="s">
        <v>400</v>
      </c>
      <c r="I336" s="3" t="s">
        <v>445</v>
      </c>
      <c r="J336" s="3" t="s">
        <v>1147</v>
      </c>
      <c r="K336" s="3" t="s">
        <v>1185</v>
      </c>
      <c r="L336" s="4">
        <v>42885</v>
      </c>
    </row>
    <row r="337" spans="1:12" x14ac:dyDescent="0.6">
      <c r="A337" s="3" t="s">
        <v>106</v>
      </c>
      <c r="B337" s="3" t="s">
        <v>11</v>
      </c>
      <c r="C337" s="3" t="s">
        <v>421</v>
      </c>
      <c r="D337" s="3" t="s">
        <v>422</v>
      </c>
      <c r="E337" s="3" t="s">
        <v>422</v>
      </c>
      <c r="F337" s="3" t="s">
        <v>422</v>
      </c>
      <c r="G337" s="3" t="s">
        <v>1186</v>
      </c>
      <c r="H337" s="3" t="s">
        <v>422</v>
      </c>
      <c r="I337" s="3" t="s">
        <v>422</v>
      </c>
      <c r="J337" s="3" t="s">
        <v>1147</v>
      </c>
      <c r="K337" s="3" t="s">
        <v>1187</v>
      </c>
      <c r="L337" s="4">
        <v>42885</v>
      </c>
    </row>
    <row r="338" spans="1:12" x14ac:dyDescent="0.6">
      <c r="A338" s="3" t="s">
        <v>107</v>
      </c>
      <c r="B338" s="3" t="s">
        <v>96</v>
      </c>
      <c r="C338" s="3" t="s">
        <v>421</v>
      </c>
      <c r="D338" s="3" t="s">
        <v>422</v>
      </c>
      <c r="E338" s="3" t="s">
        <v>422</v>
      </c>
      <c r="F338" s="3" t="s">
        <v>422</v>
      </c>
      <c r="G338" s="3" t="s">
        <v>1188</v>
      </c>
      <c r="H338" s="3" t="s">
        <v>400</v>
      </c>
      <c r="I338" s="3" t="s">
        <v>604</v>
      </c>
      <c r="J338" s="3" t="s">
        <v>1147</v>
      </c>
      <c r="K338" s="3" t="s">
        <v>1189</v>
      </c>
      <c r="L338" s="4">
        <v>42885</v>
      </c>
    </row>
    <row r="339" spans="1:12" x14ac:dyDescent="0.6">
      <c r="A339" s="3" t="s">
        <v>108</v>
      </c>
      <c r="B339" s="3" t="s">
        <v>11</v>
      </c>
      <c r="C339" s="3" t="s">
        <v>421</v>
      </c>
      <c r="D339" s="3" t="s">
        <v>422</v>
      </c>
      <c r="E339" s="3" t="s">
        <v>422</v>
      </c>
      <c r="F339" s="3" t="s">
        <v>422</v>
      </c>
      <c r="G339" s="3" t="s">
        <v>1190</v>
      </c>
      <c r="H339" s="3" t="s">
        <v>400</v>
      </c>
      <c r="I339" s="3" t="s">
        <v>445</v>
      </c>
      <c r="J339" s="3" t="s">
        <v>1147</v>
      </c>
      <c r="K339" s="3" t="s">
        <v>1191</v>
      </c>
      <c r="L339" s="4">
        <v>42885</v>
      </c>
    </row>
    <row r="340" spans="1:12" x14ac:dyDescent="0.6">
      <c r="A340" s="3" t="s">
        <v>109</v>
      </c>
      <c r="B340" s="3" t="s">
        <v>11</v>
      </c>
      <c r="C340" s="3" t="s">
        <v>421</v>
      </c>
      <c r="D340" s="3" t="s">
        <v>422</v>
      </c>
      <c r="E340" s="3" t="s">
        <v>422</v>
      </c>
      <c r="F340" s="3" t="s">
        <v>422</v>
      </c>
      <c r="G340" s="3" t="s">
        <v>1192</v>
      </c>
      <c r="H340" s="3" t="s">
        <v>400</v>
      </c>
      <c r="I340" s="3" t="s">
        <v>1166</v>
      </c>
      <c r="J340" s="3" t="s">
        <v>1147</v>
      </c>
      <c r="K340" s="3" t="s">
        <v>1193</v>
      </c>
      <c r="L340" s="4">
        <v>42885</v>
      </c>
    </row>
    <row r="341" spans="1:12" x14ac:dyDescent="0.6">
      <c r="A341" s="3" t="s">
        <v>112</v>
      </c>
      <c r="B341" s="3" t="s">
        <v>11</v>
      </c>
      <c r="C341" s="3" t="s">
        <v>421</v>
      </c>
      <c r="D341" s="3" t="s">
        <v>422</v>
      </c>
      <c r="E341" s="3" t="s">
        <v>422</v>
      </c>
      <c r="F341" s="3" t="s">
        <v>422</v>
      </c>
      <c r="G341" s="3" t="s">
        <v>1194</v>
      </c>
      <c r="H341" s="3" t="s">
        <v>646</v>
      </c>
      <c r="I341" s="3" t="s">
        <v>1195</v>
      </c>
      <c r="J341" s="3" t="s">
        <v>1147</v>
      </c>
      <c r="K341" s="3" t="s">
        <v>1196</v>
      </c>
      <c r="L341" s="4">
        <v>42885</v>
      </c>
    </row>
    <row r="342" spans="1:12" x14ac:dyDescent="0.6">
      <c r="A342" s="3" t="s">
        <v>113</v>
      </c>
      <c r="B342" s="3" t="s">
        <v>11</v>
      </c>
      <c r="C342" s="3" t="s">
        <v>421</v>
      </c>
      <c r="D342" s="3" t="s">
        <v>422</v>
      </c>
      <c r="E342" s="3" t="s">
        <v>422</v>
      </c>
      <c r="F342" s="3" t="s">
        <v>422</v>
      </c>
      <c r="G342" s="3" t="s">
        <v>1197</v>
      </c>
      <c r="H342" s="3" t="s">
        <v>400</v>
      </c>
      <c r="I342" s="3" t="s">
        <v>1176</v>
      </c>
      <c r="J342" s="3" t="s">
        <v>1147</v>
      </c>
      <c r="K342" s="3" t="s">
        <v>1198</v>
      </c>
      <c r="L342" s="4">
        <v>42885</v>
      </c>
    </row>
    <row r="343" spans="1:12" x14ac:dyDescent="0.6">
      <c r="A343" s="3" t="s">
        <v>114</v>
      </c>
      <c r="B343" s="3" t="s">
        <v>11</v>
      </c>
      <c r="C343" s="3" t="s">
        <v>421</v>
      </c>
      <c r="D343" s="3" t="s">
        <v>422</v>
      </c>
      <c r="E343" s="3" t="s">
        <v>422</v>
      </c>
      <c r="F343" s="3" t="s">
        <v>422</v>
      </c>
      <c r="G343" s="3" t="s">
        <v>1199</v>
      </c>
      <c r="H343" s="3" t="s">
        <v>400</v>
      </c>
      <c r="I343" s="3" t="s">
        <v>604</v>
      </c>
      <c r="J343" s="3" t="s">
        <v>1147</v>
      </c>
      <c r="K343" s="3" t="s">
        <v>1200</v>
      </c>
      <c r="L343" s="4">
        <v>42885</v>
      </c>
    </row>
    <row r="344" spans="1:12" x14ac:dyDescent="0.6">
      <c r="A344" s="3" t="s">
        <v>115</v>
      </c>
      <c r="B344" s="3" t="s">
        <v>11</v>
      </c>
      <c r="C344" s="3" t="s">
        <v>421</v>
      </c>
      <c r="D344" s="3" t="s">
        <v>422</v>
      </c>
      <c r="E344" s="3" t="s">
        <v>422</v>
      </c>
      <c r="F344" s="3" t="s">
        <v>422</v>
      </c>
      <c r="G344" s="3" t="s">
        <v>1201</v>
      </c>
      <c r="H344" s="3" t="s">
        <v>400</v>
      </c>
      <c r="I344" s="3" t="s">
        <v>612</v>
      </c>
      <c r="J344" s="3" t="s">
        <v>1147</v>
      </c>
      <c r="K344" s="3" t="s">
        <v>1202</v>
      </c>
      <c r="L344" s="4">
        <v>42885</v>
      </c>
    </row>
    <row r="345" spans="1:12" x14ac:dyDescent="0.6">
      <c r="A345" s="3" t="s">
        <v>118</v>
      </c>
      <c r="B345" s="3" t="s">
        <v>11</v>
      </c>
      <c r="C345" s="3" t="s">
        <v>421</v>
      </c>
      <c r="D345" s="3" t="s">
        <v>422</v>
      </c>
      <c r="E345" s="3" t="s">
        <v>422</v>
      </c>
      <c r="F345" s="3" t="s">
        <v>422</v>
      </c>
      <c r="G345" s="3" t="s">
        <v>1203</v>
      </c>
      <c r="H345" s="3" t="s">
        <v>400</v>
      </c>
      <c r="I345" s="3" t="s">
        <v>445</v>
      </c>
      <c r="J345" s="3" t="s">
        <v>1147</v>
      </c>
      <c r="K345" s="3" t="s">
        <v>1204</v>
      </c>
      <c r="L345" s="4">
        <v>42885</v>
      </c>
    </row>
    <row r="346" spans="1:12" x14ac:dyDescent="0.6">
      <c r="A346" s="3" t="s">
        <v>119</v>
      </c>
      <c r="B346" s="3" t="s">
        <v>11</v>
      </c>
      <c r="C346" s="3" t="s">
        <v>421</v>
      </c>
      <c r="D346" s="3" t="s">
        <v>422</v>
      </c>
      <c r="E346" s="3" t="s">
        <v>422</v>
      </c>
      <c r="F346" s="3" t="s">
        <v>422</v>
      </c>
      <c r="G346" s="3" t="s">
        <v>1205</v>
      </c>
      <c r="H346" s="3" t="s">
        <v>400</v>
      </c>
      <c r="I346" s="3" t="s">
        <v>410</v>
      </c>
      <c r="J346" s="3" t="s">
        <v>1147</v>
      </c>
      <c r="K346" s="3" t="s">
        <v>1206</v>
      </c>
      <c r="L346" s="4">
        <v>42885</v>
      </c>
    </row>
    <row r="347" spans="1:12" x14ac:dyDescent="0.6">
      <c r="A347" s="3" t="s">
        <v>120</v>
      </c>
      <c r="B347" s="3" t="s">
        <v>11</v>
      </c>
      <c r="C347" s="3" t="s">
        <v>421</v>
      </c>
      <c r="D347" s="3" t="s">
        <v>422</v>
      </c>
      <c r="E347" s="3" t="s">
        <v>422</v>
      </c>
      <c r="F347" s="3" t="s">
        <v>422</v>
      </c>
      <c r="G347" s="3" t="s">
        <v>1207</v>
      </c>
      <c r="H347" s="3" t="s">
        <v>400</v>
      </c>
      <c r="I347" s="3" t="s">
        <v>445</v>
      </c>
      <c r="J347" s="3" t="s">
        <v>1147</v>
      </c>
      <c r="K347" s="3" t="s">
        <v>1208</v>
      </c>
      <c r="L347" s="4">
        <v>42885</v>
      </c>
    </row>
    <row r="348" spans="1:12" x14ac:dyDescent="0.6">
      <c r="A348" s="3" t="s">
        <v>121</v>
      </c>
      <c r="B348" s="3" t="s">
        <v>11</v>
      </c>
      <c r="C348" s="3" t="s">
        <v>421</v>
      </c>
      <c r="D348" s="3" t="s">
        <v>422</v>
      </c>
      <c r="E348" s="3" t="s">
        <v>422</v>
      </c>
      <c r="F348" s="3" t="s">
        <v>422</v>
      </c>
      <c r="G348" s="3" t="s">
        <v>1209</v>
      </c>
      <c r="H348" s="3" t="s">
        <v>400</v>
      </c>
      <c r="I348" s="3" t="s">
        <v>604</v>
      </c>
      <c r="J348" s="3" t="s">
        <v>1147</v>
      </c>
      <c r="K348" s="3" t="s">
        <v>1210</v>
      </c>
      <c r="L348" s="4">
        <v>42885</v>
      </c>
    </row>
    <row r="349" spans="1:12" x14ac:dyDescent="0.6">
      <c r="A349" s="3" t="s">
        <v>122</v>
      </c>
      <c r="B349" s="3" t="s">
        <v>11</v>
      </c>
      <c r="C349" s="3" t="s">
        <v>421</v>
      </c>
      <c r="D349" s="3" t="s">
        <v>422</v>
      </c>
      <c r="E349" s="3" t="s">
        <v>422</v>
      </c>
      <c r="F349" s="3" t="s">
        <v>422</v>
      </c>
      <c r="G349" s="3" t="s">
        <v>1211</v>
      </c>
      <c r="H349" s="3" t="s">
        <v>400</v>
      </c>
      <c r="I349" s="3" t="s">
        <v>612</v>
      </c>
      <c r="J349" s="3" t="s">
        <v>1147</v>
      </c>
      <c r="K349" s="3" t="s">
        <v>1212</v>
      </c>
      <c r="L349" s="4">
        <v>42885</v>
      </c>
    </row>
    <row r="350" spans="1:12" x14ac:dyDescent="0.6">
      <c r="A350" s="3" t="s">
        <v>123</v>
      </c>
      <c r="B350" s="3" t="s">
        <v>11</v>
      </c>
      <c r="C350" s="3" t="s">
        <v>421</v>
      </c>
      <c r="D350" s="3" t="s">
        <v>422</v>
      </c>
      <c r="E350" s="3" t="s">
        <v>422</v>
      </c>
      <c r="F350" s="3" t="s">
        <v>422</v>
      </c>
      <c r="G350" s="3" t="s">
        <v>1213</v>
      </c>
      <c r="H350" s="3" t="s">
        <v>400</v>
      </c>
      <c r="I350" s="3" t="s">
        <v>612</v>
      </c>
      <c r="J350" s="3" t="s">
        <v>1147</v>
      </c>
      <c r="K350" s="3" t="s">
        <v>1214</v>
      </c>
      <c r="L350" s="4">
        <v>42885</v>
      </c>
    </row>
    <row r="351" spans="1:12" x14ac:dyDescent="0.6">
      <c r="A351" s="3" t="s">
        <v>124</v>
      </c>
      <c r="B351" s="3" t="s">
        <v>11</v>
      </c>
      <c r="C351" s="3" t="s">
        <v>421</v>
      </c>
      <c r="D351" s="3" t="s">
        <v>422</v>
      </c>
      <c r="E351" s="3" t="s">
        <v>422</v>
      </c>
      <c r="F351" s="3" t="s">
        <v>422</v>
      </c>
      <c r="G351" s="3" t="s">
        <v>1215</v>
      </c>
      <c r="H351" s="3" t="s">
        <v>400</v>
      </c>
      <c r="I351" s="3" t="s">
        <v>772</v>
      </c>
      <c r="J351" s="3" t="s">
        <v>1147</v>
      </c>
      <c r="K351" s="3" t="s">
        <v>1216</v>
      </c>
      <c r="L351" s="4">
        <v>42885</v>
      </c>
    </row>
    <row r="352" spans="1:12" x14ac:dyDescent="0.6">
      <c r="A352" s="3" t="s">
        <v>125</v>
      </c>
      <c r="B352" s="3" t="s">
        <v>11</v>
      </c>
      <c r="C352" s="3" t="s">
        <v>421</v>
      </c>
      <c r="D352" s="3" t="s">
        <v>422</v>
      </c>
      <c r="E352" s="3" t="s">
        <v>422</v>
      </c>
      <c r="F352" s="3" t="s">
        <v>422</v>
      </c>
      <c r="G352" s="3" t="s">
        <v>1217</v>
      </c>
      <c r="H352" s="3" t="s">
        <v>646</v>
      </c>
      <c r="I352" s="3" t="s">
        <v>1218</v>
      </c>
      <c r="J352" s="3" t="s">
        <v>1147</v>
      </c>
      <c r="K352" s="3" t="s">
        <v>1219</v>
      </c>
      <c r="L352" s="4">
        <v>42885</v>
      </c>
    </row>
    <row r="353" spans="1:12" x14ac:dyDescent="0.6">
      <c r="A353" s="3" t="s">
        <v>126</v>
      </c>
      <c r="B353" s="3" t="s">
        <v>11</v>
      </c>
      <c r="C353" s="3" t="s">
        <v>421</v>
      </c>
      <c r="D353" s="3" t="s">
        <v>422</v>
      </c>
      <c r="E353" s="3" t="s">
        <v>422</v>
      </c>
      <c r="F353" s="3" t="s">
        <v>422</v>
      </c>
      <c r="G353" s="3" t="s">
        <v>1220</v>
      </c>
      <c r="H353" s="3" t="s">
        <v>400</v>
      </c>
      <c r="I353" s="3" t="s">
        <v>422</v>
      </c>
      <c r="J353" s="3" t="s">
        <v>1147</v>
      </c>
      <c r="K353" s="3" t="s">
        <v>1221</v>
      </c>
      <c r="L353" s="4">
        <v>42885</v>
      </c>
    </row>
    <row r="354" spans="1:12" x14ac:dyDescent="0.6">
      <c r="A354" s="3" t="s">
        <v>127</v>
      </c>
      <c r="B354" s="3" t="s">
        <v>11</v>
      </c>
      <c r="C354" s="3" t="s">
        <v>421</v>
      </c>
      <c r="D354" s="3" t="s">
        <v>422</v>
      </c>
      <c r="E354" s="3" t="s">
        <v>422</v>
      </c>
      <c r="F354" s="3" t="s">
        <v>422</v>
      </c>
      <c r="G354" s="3" t="s">
        <v>1222</v>
      </c>
      <c r="H354" s="3" t="s">
        <v>400</v>
      </c>
      <c r="I354" s="3" t="s">
        <v>422</v>
      </c>
      <c r="J354" s="3" t="s">
        <v>1147</v>
      </c>
      <c r="K354" s="3" t="s">
        <v>1223</v>
      </c>
      <c r="L354" s="4">
        <v>42885</v>
      </c>
    </row>
    <row r="355" spans="1:12" x14ac:dyDescent="0.6">
      <c r="A355" s="3" t="s">
        <v>128</v>
      </c>
      <c r="B355" s="3" t="s">
        <v>11</v>
      </c>
      <c r="C355" s="3" t="s">
        <v>421</v>
      </c>
      <c r="D355" s="3" t="s">
        <v>422</v>
      </c>
      <c r="E355" s="3" t="s">
        <v>422</v>
      </c>
      <c r="F355" s="3" t="s">
        <v>422</v>
      </c>
      <c r="G355" s="3" t="s">
        <v>1224</v>
      </c>
      <c r="H355" s="3" t="s">
        <v>400</v>
      </c>
      <c r="I355" s="3" t="s">
        <v>422</v>
      </c>
      <c r="J355" s="3" t="s">
        <v>1147</v>
      </c>
      <c r="K355" s="3" t="s">
        <v>1225</v>
      </c>
      <c r="L355" s="4">
        <v>42885</v>
      </c>
    </row>
    <row r="356" spans="1:12" x14ac:dyDescent="0.6">
      <c r="A356" s="3" t="s">
        <v>129</v>
      </c>
      <c r="B356" s="3" t="s">
        <v>11</v>
      </c>
      <c r="C356" s="3" t="s">
        <v>421</v>
      </c>
      <c r="D356" s="3" t="s">
        <v>422</v>
      </c>
      <c r="E356" s="3" t="s">
        <v>422</v>
      </c>
      <c r="F356" s="3" t="s">
        <v>422</v>
      </c>
      <c r="G356" s="3" t="s">
        <v>1226</v>
      </c>
      <c r="H356" s="3" t="s">
        <v>400</v>
      </c>
      <c r="I356" s="3" t="s">
        <v>422</v>
      </c>
      <c r="J356" s="3" t="s">
        <v>1147</v>
      </c>
      <c r="K356" s="3" t="s">
        <v>1227</v>
      </c>
      <c r="L356" s="4">
        <v>42885</v>
      </c>
    </row>
    <row r="357" spans="1:12" x14ac:dyDescent="0.6">
      <c r="A357" s="3" t="s">
        <v>130</v>
      </c>
      <c r="B357" s="3" t="s">
        <v>11</v>
      </c>
      <c r="C357" s="3" t="s">
        <v>397</v>
      </c>
      <c r="D357" s="3">
        <v>39.935490000000001</v>
      </c>
      <c r="E357" s="3">
        <v>-89.80068</v>
      </c>
      <c r="F357" s="3" t="s">
        <v>1228</v>
      </c>
      <c r="G357" s="3" t="s">
        <v>1229</v>
      </c>
      <c r="H357" s="3" t="s">
        <v>400</v>
      </c>
      <c r="I357" s="3" t="s">
        <v>445</v>
      </c>
      <c r="J357" s="3" t="s">
        <v>1147</v>
      </c>
      <c r="K357" s="3" t="s">
        <v>1230</v>
      </c>
      <c r="L357" s="4">
        <v>42886</v>
      </c>
    </row>
    <row r="358" spans="1:12" x14ac:dyDescent="0.6">
      <c r="A358" s="3" t="s">
        <v>131</v>
      </c>
      <c r="B358" s="3" t="s">
        <v>11</v>
      </c>
      <c r="C358" s="3" t="s">
        <v>421</v>
      </c>
      <c r="D358" s="3" t="s">
        <v>422</v>
      </c>
      <c r="E358" s="3" t="s">
        <v>422</v>
      </c>
      <c r="F358" s="3" t="s">
        <v>422</v>
      </c>
      <c r="G358" s="3" t="s">
        <v>1231</v>
      </c>
      <c r="H358" s="3" t="s">
        <v>422</v>
      </c>
      <c r="I358" s="3" t="s">
        <v>422</v>
      </c>
      <c r="J358" s="3" t="s">
        <v>1147</v>
      </c>
      <c r="K358" s="3" t="s">
        <v>1232</v>
      </c>
      <c r="L358" s="4">
        <v>42886</v>
      </c>
    </row>
    <row r="359" spans="1:12" x14ac:dyDescent="0.6">
      <c r="A359" s="3" t="s">
        <v>132</v>
      </c>
      <c r="B359" s="3" t="s">
        <v>11</v>
      </c>
      <c r="C359" s="3" t="s">
        <v>421</v>
      </c>
      <c r="D359" s="3" t="s">
        <v>422</v>
      </c>
      <c r="E359" s="3" t="s">
        <v>422</v>
      </c>
      <c r="F359" s="3" t="s">
        <v>422</v>
      </c>
      <c r="G359" s="3" t="s">
        <v>1233</v>
      </c>
      <c r="H359" s="3" t="s">
        <v>400</v>
      </c>
      <c r="I359" s="3" t="s">
        <v>657</v>
      </c>
      <c r="J359" s="3" t="s">
        <v>1147</v>
      </c>
      <c r="K359" s="3" t="s">
        <v>1234</v>
      </c>
      <c r="L359" s="4">
        <v>42886</v>
      </c>
    </row>
    <row r="360" spans="1:12" x14ac:dyDescent="0.6">
      <c r="A360" s="3" t="s">
        <v>99</v>
      </c>
      <c r="B360" s="3" t="s">
        <v>11</v>
      </c>
      <c r="C360" s="3" t="s">
        <v>421</v>
      </c>
      <c r="D360" s="3" t="s">
        <v>422</v>
      </c>
      <c r="E360" s="3" t="s">
        <v>422</v>
      </c>
      <c r="F360" s="3" t="s">
        <v>422</v>
      </c>
      <c r="G360" s="3" t="s">
        <v>1235</v>
      </c>
      <c r="H360" s="3" t="s">
        <v>422</v>
      </c>
      <c r="I360" s="3" t="s">
        <v>422</v>
      </c>
      <c r="J360" s="3" t="s">
        <v>1147</v>
      </c>
      <c r="K360" s="3" t="s">
        <v>1236</v>
      </c>
      <c r="L360" s="4">
        <v>42886</v>
      </c>
    </row>
    <row r="361" spans="1:12" x14ac:dyDescent="0.6">
      <c r="A361" s="3" t="s">
        <v>101</v>
      </c>
      <c r="B361" s="3" t="s">
        <v>11</v>
      </c>
      <c r="C361" s="3" t="s">
        <v>421</v>
      </c>
      <c r="D361" s="3" t="s">
        <v>422</v>
      </c>
      <c r="E361" s="3" t="s">
        <v>422</v>
      </c>
      <c r="F361" s="3" t="s">
        <v>422</v>
      </c>
      <c r="G361" s="3" t="s">
        <v>1237</v>
      </c>
      <c r="H361" s="3" t="s">
        <v>400</v>
      </c>
      <c r="I361" s="3" t="s">
        <v>612</v>
      </c>
      <c r="J361" s="3" t="s">
        <v>1147</v>
      </c>
      <c r="K361" s="3" t="s">
        <v>1238</v>
      </c>
      <c r="L361" s="4">
        <v>42886</v>
      </c>
    </row>
    <row r="362" spans="1:12" x14ac:dyDescent="0.6">
      <c r="A362" s="3" t="s">
        <v>110</v>
      </c>
      <c r="B362" s="3" t="s">
        <v>11</v>
      </c>
      <c r="C362" s="3" t="s">
        <v>421</v>
      </c>
      <c r="D362" s="3" t="s">
        <v>422</v>
      </c>
      <c r="E362" s="3" t="s">
        <v>422</v>
      </c>
      <c r="F362" s="3" t="s">
        <v>422</v>
      </c>
      <c r="G362" s="3" t="s">
        <v>1239</v>
      </c>
      <c r="H362" s="3" t="s">
        <v>400</v>
      </c>
      <c r="I362" s="3" t="s">
        <v>1166</v>
      </c>
      <c r="J362" s="3" t="s">
        <v>1147</v>
      </c>
      <c r="K362" s="3" t="s">
        <v>1240</v>
      </c>
      <c r="L362" s="4">
        <v>42885</v>
      </c>
    </row>
    <row r="363" spans="1:12" x14ac:dyDescent="0.6">
      <c r="A363" s="3" t="s">
        <v>111</v>
      </c>
      <c r="B363" s="3" t="s">
        <v>11</v>
      </c>
      <c r="C363" s="3" t="s">
        <v>421</v>
      </c>
      <c r="D363" s="3" t="s">
        <v>422</v>
      </c>
      <c r="E363" s="3" t="s">
        <v>422</v>
      </c>
      <c r="F363" s="3" t="s">
        <v>422</v>
      </c>
      <c r="G363" s="3" t="s">
        <v>1241</v>
      </c>
      <c r="H363" s="3" t="s">
        <v>400</v>
      </c>
      <c r="I363" s="3" t="s">
        <v>445</v>
      </c>
      <c r="J363" s="3" t="s">
        <v>1147</v>
      </c>
      <c r="K363" s="3" t="s">
        <v>1242</v>
      </c>
      <c r="L363" s="4">
        <v>42885</v>
      </c>
    </row>
    <row r="364" spans="1:12" x14ac:dyDescent="0.6">
      <c r="A364" s="3" t="s">
        <v>116</v>
      </c>
      <c r="B364" s="3" t="s">
        <v>11</v>
      </c>
      <c r="C364" s="3" t="s">
        <v>421</v>
      </c>
      <c r="D364" s="3" t="s">
        <v>422</v>
      </c>
      <c r="E364" s="3" t="s">
        <v>422</v>
      </c>
      <c r="F364" s="3" t="s">
        <v>422</v>
      </c>
      <c r="G364" s="3" t="s">
        <v>1243</v>
      </c>
      <c r="H364" s="3" t="s">
        <v>400</v>
      </c>
      <c r="I364" s="3" t="s">
        <v>1166</v>
      </c>
      <c r="J364" s="3" t="s">
        <v>1147</v>
      </c>
      <c r="K364" s="3" t="s">
        <v>1244</v>
      </c>
      <c r="L364" s="4">
        <v>42885</v>
      </c>
    </row>
    <row r="365" spans="1:12" x14ac:dyDescent="0.6">
      <c r="A365" s="3" t="s">
        <v>117</v>
      </c>
      <c r="B365" s="3" t="s">
        <v>11</v>
      </c>
      <c r="C365" s="3" t="s">
        <v>421</v>
      </c>
      <c r="D365" s="3" t="s">
        <v>422</v>
      </c>
      <c r="E365" s="3" t="s">
        <v>422</v>
      </c>
      <c r="F365" s="3" t="s">
        <v>422</v>
      </c>
      <c r="G365" s="3" t="s">
        <v>1245</v>
      </c>
      <c r="H365" s="3" t="s">
        <v>400</v>
      </c>
      <c r="I365" s="3" t="s">
        <v>401</v>
      </c>
      <c r="J365" s="3" t="s">
        <v>1147</v>
      </c>
      <c r="K365" s="3" t="s">
        <v>1246</v>
      </c>
      <c r="L365" s="4">
        <v>42885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TableS4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Hipp</dc:creator>
  <cp:lastModifiedBy>Andrew Hipp</cp:lastModifiedBy>
  <dcterms:created xsi:type="dcterms:W3CDTF">2026-04-13T10:47:14Z</dcterms:created>
  <dcterms:modified xsi:type="dcterms:W3CDTF">2026-04-13T12:18:02Z</dcterms:modified>
</cp:coreProperties>
</file>